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2026\HawtC2\demo\Pcsl\二维有限元方法计算\"/>
    </mc:Choice>
  </mc:AlternateContent>
  <xr:revisionPtr revIDLastSave="0" documentId="13_ncr:1_{8707A1EB-D026-4403-B266-385A0B655E23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case1" sheetId="1" r:id="rId1"/>
    <sheet name="case2" sheetId="2" r:id="rId2"/>
    <sheet name="case6" sheetId="3" r:id="rId3"/>
    <sheet name="case7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4" l="1"/>
  <c r="P21" i="4"/>
  <c r="Q21" i="4"/>
  <c r="N21" i="4"/>
  <c r="N2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" i="4"/>
  <c r="V28" i="3"/>
  <c r="V29" i="3"/>
  <c r="V30" i="3"/>
  <c r="V31" i="3"/>
  <c r="V32" i="3"/>
  <c r="V27" i="3"/>
  <c r="U28" i="3"/>
  <c r="U30" i="3"/>
  <c r="U31" i="3"/>
  <c r="U32" i="3"/>
  <c r="U27" i="3"/>
  <c r="T28" i="3"/>
  <c r="T29" i="3"/>
  <c r="T30" i="3"/>
  <c r="T31" i="3"/>
  <c r="T32" i="3"/>
  <c r="T27" i="3"/>
  <c r="S28" i="3"/>
  <c r="S29" i="3"/>
  <c r="S30" i="3"/>
  <c r="S31" i="3"/>
  <c r="S32" i="3"/>
  <c r="S27" i="3"/>
  <c r="R28" i="3"/>
  <c r="R30" i="3"/>
  <c r="R31" i="3"/>
  <c r="R32" i="3"/>
  <c r="R27" i="3"/>
  <c r="V22" i="3"/>
  <c r="V23" i="3"/>
  <c r="V24" i="3"/>
  <c r="V25" i="3"/>
  <c r="V26" i="3"/>
  <c r="V21" i="3"/>
  <c r="U22" i="3"/>
  <c r="U24" i="3"/>
  <c r="U25" i="3"/>
  <c r="U26" i="3"/>
  <c r="U21" i="3"/>
  <c r="T22" i="3"/>
  <c r="T23" i="3"/>
  <c r="T24" i="3"/>
  <c r="T25" i="3"/>
  <c r="T26" i="3"/>
  <c r="T21" i="3"/>
  <c r="S22" i="3"/>
  <c r="S23" i="3"/>
  <c r="S24" i="3"/>
  <c r="S25" i="3"/>
  <c r="S26" i="3"/>
  <c r="S21" i="3"/>
  <c r="R22" i="3"/>
  <c r="R24" i="3"/>
  <c r="R25" i="3"/>
  <c r="R26" i="3"/>
  <c r="R21" i="3"/>
  <c r="V16" i="3"/>
  <c r="V17" i="3"/>
  <c r="V18" i="3"/>
  <c r="V19" i="3"/>
  <c r="V20" i="3"/>
  <c r="V15" i="3"/>
  <c r="U16" i="3"/>
  <c r="U18" i="3"/>
  <c r="U19" i="3"/>
  <c r="U20" i="3"/>
  <c r="U15" i="3"/>
  <c r="T16" i="3"/>
  <c r="T17" i="3"/>
  <c r="T18" i="3"/>
  <c r="T19" i="3"/>
  <c r="T20" i="3"/>
  <c r="T15" i="3"/>
  <c r="S16" i="3"/>
  <c r="S17" i="3"/>
  <c r="S18" i="3"/>
  <c r="S19" i="3"/>
  <c r="S20" i="3"/>
  <c r="S15" i="3"/>
  <c r="R16" i="3"/>
  <c r="R18" i="3"/>
  <c r="R19" i="3"/>
  <c r="R20" i="3"/>
  <c r="R15" i="3"/>
  <c r="V10" i="3"/>
  <c r="V11" i="3"/>
  <c r="V12" i="3"/>
  <c r="V13" i="3"/>
  <c r="V14" i="3"/>
  <c r="V9" i="3"/>
  <c r="U10" i="3"/>
  <c r="U12" i="3"/>
  <c r="U13" i="3"/>
  <c r="U14" i="3"/>
  <c r="U9" i="3"/>
  <c r="T10" i="3"/>
  <c r="T11" i="3"/>
  <c r="T12" i="3"/>
  <c r="T13" i="3"/>
  <c r="T14" i="3"/>
  <c r="T9" i="3"/>
  <c r="S10" i="3"/>
  <c r="S11" i="3"/>
  <c r="S12" i="3"/>
  <c r="S13" i="3"/>
  <c r="S14" i="3"/>
  <c r="S9" i="3"/>
  <c r="R10" i="3"/>
  <c r="R12" i="3"/>
  <c r="R13" i="3"/>
  <c r="R14" i="3"/>
  <c r="R9" i="3"/>
  <c r="V4" i="3"/>
  <c r="V5" i="3"/>
  <c r="V6" i="3"/>
  <c r="V7" i="3"/>
  <c r="V8" i="3"/>
  <c r="V3" i="3"/>
  <c r="U4" i="3"/>
  <c r="U6" i="3"/>
  <c r="U7" i="3"/>
  <c r="U8" i="3"/>
  <c r="U3" i="3"/>
  <c r="T4" i="3"/>
  <c r="T5" i="3"/>
  <c r="T6" i="3"/>
  <c r="T7" i="3"/>
  <c r="T8" i="3"/>
  <c r="T3" i="3"/>
  <c r="S4" i="3"/>
  <c r="S5" i="3"/>
  <c r="S6" i="3"/>
  <c r="S7" i="3"/>
  <c r="S8" i="3"/>
  <c r="S3" i="3"/>
  <c r="R4" i="3"/>
  <c r="R6" i="3"/>
  <c r="R7" i="3"/>
  <c r="R8" i="3"/>
  <c r="R3" i="3"/>
</calcChain>
</file>

<file path=xl/sharedStrings.xml><?xml version="1.0" encoding="utf-8"?>
<sst xmlns="http://schemas.openxmlformats.org/spreadsheetml/2006/main" count="212" uniqueCount="87">
  <si>
    <t>BECAS</t>
  </si>
  <si>
    <t>VABS</t>
  </si>
  <si>
    <r>
      <rPr>
        <sz val="11"/>
        <color theme="1"/>
        <rFont val="等线"/>
        <family val="2"/>
      </rPr>
      <t>截面参数</t>
    </r>
    <phoneticPr fontId="2" type="noConversion"/>
  </si>
  <si>
    <t>PcsL</t>
    <phoneticPr fontId="2" type="noConversion"/>
  </si>
  <si>
    <t>Diff.(BECAS)</t>
    <phoneticPr fontId="2" type="noConversion"/>
  </si>
  <si>
    <t>Diff.(VABS)</t>
    <phoneticPr fontId="2" type="noConversion"/>
  </si>
  <si>
    <t>Method</t>
  </si>
  <si>
    <t>EA</t>
  </si>
  <si>
    <t>GJ</t>
  </si>
  <si>
    <t>i22 = i33</t>
  </si>
  <si>
    <t>PreComp</t>
  </si>
  <si>
    <t>FAROB</t>
  </si>
  <si>
    <t>CROSTAB</t>
  </si>
  <si>
    <t>Elasticity</t>
  </si>
  <si>
    <t>1/7.5</t>
  </si>
  <si>
    <t>2/7.5</t>
  </si>
  <si>
    <t>PreComp</t>
    <phoneticPr fontId="2" type="noConversion"/>
  </si>
  <si>
    <t>VABS</t>
    <phoneticPr fontId="2" type="noConversion"/>
  </si>
  <si>
    <t>CROSTAB</t>
    <phoneticPr fontId="2" type="noConversion"/>
  </si>
  <si>
    <t>t2R</t>
    <phoneticPr fontId="2" type="noConversion"/>
  </si>
  <si>
    <t>El22 = El33</t>
    <phoneticPr fontId="2" type="noConversion"/>
  </si>
  <si>
    <t>Ks11</t>
    <phoneticPr fontId="2" type="noConversion"/>
  </si>
  <si>
    <t>Ks22</t>
    <phoneticPr fontId="2" type="noConversion"/>
  </si>
  <si>
    <t>Ks33</t>
    <phoneticPr fontId="2" type="noConversion"/>
  </si>
  <si>
    <t>Ks44</t>
    <phoneticPr fontId="2" type="noConversion"/>
  </si>
  <si>
    <t>Ks55</t>
    <phoneticPr fontId="2" type="noConversion"/>
  </si>
  <si>
    <t>Ks66</t>
    <phoneticPr fontId="2" type="noConversion"/>
  </si>
  <si>
    <t>1/15</t>
    <phoneticPr fontId="2" type="noConversion"/>
  </si>
  <si>
    <t>1/5</t>
    <phoneticPr fontId="2" type="noConversion"/>
  </si>
  <si>
    <t>1/3</t>
    <phoneticPr fontId="2" type="noConversion"/>
  </si>
  <si>
    <t>u</t>
    <phoneticPr fontId="2" type="noConversion"/>
  </si>
  <si>
    <t>/</t>
    <phoneticPr fontId="2" type="noConversion"/>
  </si>
  <si>
    <t>计算结果表格</t>
    <phoneticPr fontId="2" type="noConversion"/>
  </si>
  <si>
    <t>误差表</t>
    <phoneticPr fontId="2" type="noConversion"/>
  </si>
  <si>
    <t>S34</t>
  </si>
  <si>
    <t>S14</t>
  </si>
  <si>
    <t>S23</t>
  </si>
  <si>
    <t>S24</t>
  </si>
  <si>
    <t>S12</t>
  </si>
  <si>
    <t>i33</t>
  </si>
  <si>
    <t>Xm3</t>
  </si>
  <si>
    <t>Xt3</t>
  </si>
  <si>
    <t>Xs3</t>
  </si>
  <si>
    <t>El33</t>
    <phoneticPr fontId="2" type="noConversion"/>
  </si>
  <si>
    <t>Xm2</t>
    <phoneticPr fontId="2" type="noConversion"/>
  </si>
  <si>
    <t>S13</t>
    <phoneticPr fontId="2" type="noConversion"/>
  </si>
  <si>
    <t>i22</t>
    <phoneticPr fontId="2" type="noConversion"/>
  </si>
  <si>
    <t>Xs2</t>
    <phoneticPr fontId="2" type="noConversion"/>
  </si>
  <si>
    <t>EI22</t>
  </si>
  <si>
    <t>μ</t>
  </si>
  <si>
    <r>
      <t>Ks</t>
    </r>
    <r>
      <rPr>
        <b/>
        <i/>
        <vertAlign val="subscript"/>
        <sz val="11"/>
        <color theme="1"/>
        <rFont val="Times New Roman"/>
        <family val="1"/>
      </rPr>
      <t>11</t>
    </r>
    <phoneticPr fontId="2" type="noConversion"/>
  </si>
  <si>
    <r>
      <t>Ks</t>
    </r>
    <r>
      <rPr>
        <b/>
        <i/>
        <vertAlign val="subscript"/>
        <sz val="11"/>
        <color theme="1"/>
        <rFont val="Times New Roman"/>
        <family val="1"/>
      </rPr>
      <t>22</t>
    </r>
    <phoneticPr fontId="2" type="noConversion"/>
  </si>
  <si>
    <r>
      <t>Ks</t>
    </r>
    <r>
      <rPr>
        <b/>
        <i/>
        <vertAlign val="subscript"/>
        <sz val="11"/>
        <color theme="1"/>
        <rFont val="Times New Roman"/>
        <family val="1"/>
      </rPr>
      <t>33</t>
    </r>
    <phoneticPr fontId="2" type="noConversion"/>
  </si>
  <si>
    <r>
      <t>Ks</t>
    </r>
    <r>
      <rPr>
        <b/>
        <i/>
        <vertAlign val="subscript"/>
        <sz val="11"/>
        <color theme="1"/>
        <rFont val="Times New Roman"/>
        <family val="1"/>
      </rPr>
      <t>44</t>
    </r>
    <phoneticPr fontId="2" type="noConversion"/>
  </si>
  <si>
    <r>
      <t>Ks</t>
    </r>
    <r>
      <rPr>
        <b/>
        <i/>
        <vertAlign val="subscript"/>
        <sz val="11"/>
        <color theme="1"/>
        <rFont val="Times New Roman"/>
        <family val="1"/>
      </rPr>
      <t>55</t>
    </r>
    <phoneticPr fontId="2" type="noConversion"/>
  </si>
  <si>
    <r>
      <t>Ks</t>
    </r>
    <r>
      <rPr>
        <b/>
        <i/>
        <vertAlign val="subscript"/>
        <sz val="11"/>
        <color theme="1"/>
        <rFont val="Times New Roman"/>
        <family val="1"/>
      </rPr>
      <t>66</t>
    </r>
    <phoneticPr fontId="2" type="noConversion"/>
  </si>
  <si>
    <r>
      <rPr>
        <b/>
        <i/>
        <sz val="11"/>
        <color theme="1"/>
        <rFont val="等线"/>
        <family val="2"/>
      </rPr>
      <t>剪切中心</t>
    </r>
    <r>
      <rPr>
        <b/>
        <i/>
        <sz val="11"/>
        <color theme="1"/>
        <rFont val="Times New Roman"/>
        <family val="1"/>
      </rPr>
      <t>xs</t>
    </r>
    <phoneticPr fontId="2" type="noConversion"/>
  </si>
  <si>
    <r>
      <rPr>
        <b/>
        <i/>
        <sz val="11"/>
        <color theme="1"/>
        <rFont val="等线"/>
        <family val="2"/>
      </rPr>
      <t>弹性中心</t>
    </r>
    <r>
      <rPr>
        <b/>
        <i/>
        <sz val="11"/>
        <color theme="1"/>
        <rFont val="Times New Roman"/>
        <family val="1"/>
      </rPr>
      <t>xt</t>
    </r>
    <phoneticPr fontId="2" type="noConversion"/>
  </si>
  <si>
    <t>PCSL</t>
    <phoneticPr fontId="2" type="noConversion"/>
  </si>
  <si>
    <t>pcsl标号</t>
    <phoneticPr fontId="2" type="noConversion"/>
  </si>
  <si>
    <t>Xt2</t>
    <phoneticPr fontId="2" type="noConversion"/>
  </si>
  <si>
    <t>Diff.(PreComp)</t>
    <phoneticPr fontId="2" type="noConversion"/>
  </si>
  <si>
    <t>Diff.(CROSTAB)</t>
    <phoneticPr fontId="2" type="noConversion"/>
  </si>
  <si>
    <t>BECAS</t>
    <phoneticPr fontId="2" type="noConversion"/>
  </si>
  <si>
    <t>Pa</t>
  </si>
  <si>
    <t>-</t>
    <phoneticPr fontId="2" type="noConversion"/>
  </si>
  <si>
    <t>kg/m³</t>
    <phoneticPr fontId="2" type="noConversion"/>
  </si>
  <si>
    <t>E</t>
    <phoneticPr fontId="2" type="noConversion"/>
  </si>
  <si>
    <t>G</t>
    <phoneticPr fontId="2" type="noConversion"/>
  </si>
  <si>
    <t>Nu</t>
    <phoneticPr fontId="2" type="noConversion"/>
  </si>
  <si>
    <r>
      <rPr>
        <sz val="11"/>
        <color theme="1"/>
        <rFont val="宋体"/>
        <family val="3"/>
        <charset val="134"/>
      </rPr>
      <t>材料系数</t>
    </r>
    <phoneticPr fontId="2" type="noConversion"/>
  </si>
  <si>
    <r>
      <rPr>
        <sz val="11"/>
        <color theme="1"/>
        <rFont val="宋体"/>
        <family val="3"/>
        <charset val="134"/>
      </rPr>
      <t>值</t>
    </r>
    <phoneticPr fontId="2" type="noConversion"/>
  </si>
  <si>
    <r>
      <rPr>
        <sz val="11"/>
        <color theme="1"/>
        <rFont val="宋体"/>
        <family val="3"/>
        <charset val="134"/>
      </rPr>
      <t>单位</t>
    </r>
    <phoneticPr fontId="2" type="noConversion"/>
  </si>
  <si>
    <r>
      <rPr>
        <sz val="11"/>
        <color theme="1"/>
        <rFont val="宋体"/>
        <family val="3"/>
        <charset val="134"/>
      </rPr>
      <t>密度</t>
    </r>
    <phoneticPr fontId="2" type="noConversion"/>
  </si>
  <si>
    <r>
      <rPr>
        <sz val="11"/>
        <color theme="1"/>
        <rFont val="等线"/>
        <family val="2"/>
      </rPr>
      <t>截面参数</t>
    </r>
  </si>
  <si>
    <t>PcsL</t>
  </si>
  <si>
    <t>Diff.(BECAS)</t>
  </si>
  <si>
    <t>Diff.(VABS)</t>
  </si>
  <si>
    <r>
      <t>Ks</t>
    </r>
    <r>
      <rPr>
        <b/>
        <i/>
        <vertAlign val="subscript"/>
        <sz val="11"/>
        <color theme="1"/>
        <rFont val="Times New Roman"/>
        <family val="1"/>
      </rPr>
      <t>11</t>
    </r>
  </si>
  <si>
    <r>
      <t>Ks</t>
    </r>
    <r>
      <rPr>
        <b/>
        <i/>
        <vertAlign val="subscript"/>
        <sz val="11"/>
        <color theme="1"/>
        <rFont val="Times New Roman"/>
        <family val="1"/>
      </rPr>
      <t>22</t>
    </r>
  </si>
  <si>
    <r>
      <t>Ks</t>
    </r>
    <r>
      <rPr>
        <b/>
        <i/>
        <vertAlign val="subscript"/>
        <sz val="11"/>
        <color theme="1"/>
        <rFont val="Times New Roman"/>
        <family val="1"/>
      </rPr>
      <t>33</t>
    </r>
  </si>
  <si>
    <r>
      <t>Ks</t>
    </r>
    <r>
      <rPr>
        <b/>
        <i/>
        <vertAlign val="subscript"/>
        <sz val="11"/>
        <color theme="1"/>
        <rFont val="Times New Roman"/>
        <family val="1"/>
      </rPr>
      <t>44</t>
    </r>
  </si>
  <si>
    <r>
      <t>Ks</t>
    </r>
    <r>
      <rPr>
        <b/>
        <i/>
        <vertAlign val="subscript"/>
        <sz val="11"/>
        <color theme="1"/>
        <rFont val="Times New Roman"/>
        <family val="1"/>
      </rPr>
      <t>55</t>
    </r>
  </si>
  <si>
    <r>
      <t>Ks</t>
    </r>
    <r>
      <rPr>
        <b/>
        <i/>
        <vertAlign val="subscript"/>
        <sz val="11"/>
        <color theme="1"/>
        <rFont val="Times New Roman"/>
        <family val="1"/>
      </rPr>
      <t>66</t>
    </r>
  </si>
  <si>
    <r>
      <rPr>
        <b/>
        <i/>
        <sz val="11"/>
        <color theme="1"/>
        <rFont val="等线"/>
        <family val="2"/>
      </rPr>
      <t>剪切中心</t>
    </r>
    <r>
      <rPr>
        <b/>
        <i/>
        <sz val="11"/>
        <color theme="1"/>
        <rFont val="Times New Roman"/>
        <family val="1"/>
      </rPr>
      <t>xs</t>
    </r>
  </si>
  <si>
    <r>
      <rPr>
        <b/>
        <i/>
        <sz val="11"/>
        <color theme="1"/>
        <rFont val="等线"/>
        <family val="2"/>
      </rPr>
      <t>弹性中心</t>
    </r>
    <r>
      <rPr>
        <b/>
        <i/>
        <sz val="11"/>
        <color theme="1"/>
        <rFont val="Times New Roman"/>
        <family val="1"/>
      </rPr>
      <t>xt</t>
    </r>
  </si>
  <si>
    <r>
      <rPr>
        <sz val="11"/>
        <color theme="1"/>
        <rFont val="宋体"/>
        <family val="3"/>
        <charset val="134"/>
      </rPr>
      <t>截面参数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</si>
</sst>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E+00"/>
  </numFmts>
  <fonts count="1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b/>
      <i/>
      <sz val="11"/>
      <color theme="1"/>
      <name val="Times New Roman"/>
      <family val="1"/>
    </font>
    <font>
      <b/>
      <i/>
      <vertAlign val="subscript"/>
      <sz val="11"/>
      <color theme="1"/>
      <name val="Times New Roman"/>
      <family val="1"/>
    </font>
    <font>
      <b/>
      <i/>
      <sz val="11"/>
      <color theme="1"/>
      <name val="等线"/>
      <family val="2"/>
    </font>
    <font>
      <sz val="11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11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1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6" fontId="3" fillId="0" borderId="0" xfId="0" applyNumberFormat="1" applyFont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9" fontId="3" fillId="0" borderId="0" xfId="1" applyFont="1" applyBorder="1" applyAlignment="1">
      <alignment horizontal="center" vertical="center" wrapText="1"/>
    </xf>
    <xf numFmtId="9" fontId="3" fillId="0" borderId="3" xfId="1" applyFont="1" applyBorder="1" applyAlignment="1">
      <alignment horizontal="center" vertical="center" wrapText="1"/>
    </xf>
    <xf numFmtId="9" fontId="3" fillId="0" borderId="2" xfId="1" applyFont="1" applyBorder="1" applyAlignment="1">
      <alignment horizontal="center" vertical="center" wrapText="1"/>
    </xf>
    <xf numFmtId="10" fontId="3" fillId="0" borderId="0" xfId="1" applyNumberFormat="1" applyFont="1" applyBorder="1" applyAlignment="1">
      <alignment horizontal="center" vertical="center" wrapText="1"/>
    </xf>
    <xf numFmtId="10" fontId="3" fillId="0" borderId="3" xfId="1" applyNumberFormat="1" applyFont="1" applyBorder="1" applyAlignment="1">
      <alignment horizontal="center" vertical="center" wrapText="1"/>
    </xf>
    <xf numFmtId="10" fontId="3" fillId="0" borderId="2" xfId="1" applyNumberFormat="1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11" fontId="5" fillId="0" borderId="1" xfId="0" applyNumberFormat="1" applyFont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9" fontId="8" fillId="0" borderId="0" xfId="1" applyFont="1" applyBorder="1" applyAlignment="1">
      <alignment horizontal="center" vertical="center" wrapText="1"/>
    </xf>
    <xf numFmtId="9" fontId="8" fillId="0" borderId="2" xfId="1" applyFont="1" applyBorder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 wrapText="1"/>
    </xf>
    <xf numFmtId="176" fontId="8" fillId="0" borderId="0" xfId="0" applyNumberFormat="1" applyFont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176" fontId="0" fillId="0" borderId="0" xfId="0" applyNumberFormat="1"/>
    <xf numFmtId="0" fontId="0" fillId="0" borderId="5" xfId="0" applyBorder="1" applyAlignment="1">
      <alignment horizontal="center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1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1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1" fontId="5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2">
    <cellStyle name="百分比" xfId="1" builtinId="5"/>
    <cellStyle name="常规" xfId="0" builtinId="0"/>
  </cellStyles>
  <dxfs count="30">
    <dxf>
      <fill>
        <patternFill>
          <bgColor rgb="FFFFFFFF"/>
        </patternFill>
      </fill>
    </dxf>
    <dxf>
      <fill>
        <patternFill>
          <bgColor rgb="FFD3D3D3"/>
        </patternFill>
      </fill>
    </dxf>
    <dxf>
      <fill>
        <patternFill>
          <bgColor rgb="FFFFFFFF"/>
        </patternFill>
      </fill>
    </dxf>
    <dxf>
      <fill>
        <patternFill>
          <bgColor rgb="FFD3D3D3"/>
        </patternFill>
      </fill>
    </dxf>
    <dxf>
      <fill>
        <patternFill>
          <bgColor rgb="FFFFFFFF"/>
        </patternFill>
      </fill>
    </dxf>
    <dxf>
      <fill>
        <patternFill>
          <bgColor rgb="FFD3D3D3"/>
        </patternFill>
      </fill>
    </dxf>
    <dxf>
      <fill>
        <patternFill>
          <bgColor rgb="FFFFFFFF"/>
        </patternFill>
      </fill>
    </dxf>
    <dxf>
      <fill>
        <patternFill>
          <bgColor rgb="FFD3D3D3"/>
        </patternFill>
      </fill>
    </dxf>
    <dxf>
      <fill>
        <patternFill>
          <bgColor rgb="FFFFFFFF"/>
        </patternFill>
      </fill>
    </dxf>
    <dxf>
      <fill>
        <patternFill>
          <bgColor rgb="FFD3D3D3"/>
        </patternFill>
      </fill>
    </dxf>
    <dxf>
      <fill>
        <patternFill>
          <bgColor rgb="FFFFFFFF"/>
        </patternFill>
      </fill>
    </dxf>
    <dxf>
      <fill>
        <patternFill>
          <bgColor rgb="FFD3D3D3"/>
        </patternFill>
      </fill>
    </dxf>
    <dxf>
      <fill>
        <patternFill>
          <bgColor rgb="FFFFFFFF"/>
        </patternFill>
      </fill>
    </dxf>
    <dxf>
      <fill>
        <patternFill>
          <bgColor rgb="FFD3D3D3"/>
        </patternFill>
      </fill>
    </dxf>
    <dxf>
      <fill>
        <patternFill>
          <bgColor rgb="FFFFFFFF"/>
        </patternFill>
      </fill>
    </dxf>
    <dxf>
      <fill>
        <patternFill>
          <bgColor rgb="FFD3D3D3"/>
        </patternFill>
      </fill>
    </dxf>
    <dxf>
      <fill>
        <patternFill>
          <bgColor rgb="FFFFFFFF"/>
        </patternFill>
      </fill>
    </dxf>
    <dxf>
      <fill>
        <patternFill>
          <bgColor rgb="FFD3D3D3"/>
        </patternFill>
      </fill>
    </dxf>
    <dxf>
      <fill>
        <patternFill>
          <bgColor rgb="FFFFFFFF"/>
        </patternFill>
      </fill>
    </dxf>
    <dxf>
      <fill>
        <patternFill>
          <bgColor rgb="FFD3D3D3"/>
        </patternFill>
      </fill>
    </dxf>
    <dxf>
      <fill>
        <patternFill>
          <bgColor rgb="FFFFFFFF"/>
        </patternFill>
      </fill>
    </dxf>
    <dxf>
      <fill>
        <patternFill>
          <bgColor rgb="FFD3D3D3"/>
        </patternFill>
      </fill>
    </dxf>
    <dxf>
      <fill>
        <patternFill>
          <bgColor rgb="FFFFFFFF"/>
        </patternFill>
      </fill>
    </dxf>
    <dxf>
      <fill>
        <patternFill>
          <bgColor rgb="FFD3D3D3"/>
        </patternFill>
      </fill>
    </dxf>
    <dxf>
      <fill>
        <patternFill>
          <bgColor rgb="FFFFFFFF"/>
        </patternFill>
      </fill>
    </dxf>
    <dxf>
      <fill>
        <patternFill>
          <bgColor rgb="FFD3D3D3"/>
        </patternFill>
      </fill>
    </dxf>
    <dxf>
      <fill>
        <patternFill>
          <bgColor rgb="FFFFFFFF"/>
        </patternFill>
      </fill>
    </dxf>
    <dxf>
      <fill>
        <patternFill>
          <bgColor rgb="FFD3D3D3"/>
        </patternFill>
      </fill>
    </dxf>
    <dxf>
      <fill>
        <patternFill>
          <bgColor rgb="FFFFFFFF"/>
        </patternFill>
      </fill>
    </dxf>
    <dxf>
      <fill>
        <patternFill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4</xdr:col>
      <xdr:colOff>75886</xdr:colOff>
      <xdr:row>10</xdr:row>
      <xdr:rowOff>41686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E7EA71C-8CBA-8B60-DB77-AA3D5E4F1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2514286" cy="17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142875</xdr:rowOff>
    </xdr:from>
    <xdr:to>
      <xdr:col>4</xdr:col>
      <xdr:colOff>1609</xdr:colOff>
      <xdr:row>10</xdr:row>
      <xdr:rowOff>146467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8F0AE27-E152-7DFC-DDCB-CD8266A7C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14325"/>
          <a:ext cx="2373334" cy="174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0</xdr:row>
      <xdr:rowOff>68580</xdr:rowOff>
    </xdr:from>
    <xdr:to>
      <xdr:col>6</xdr:col>
      <xdr:colOff>132564</xdr:colOff>
      <xdr:row>18</xdr:row>
      <xdr:rowOff>135255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84767C6-4607-17F3-2B7E-39DFEA21D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" y="68580"/>
          <a:ext cx="3603474" cy="32785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22</xdr:row>
      <xdr:rowOff>144780</xdr:rowOff>
    </xdr:from>
    <xdr:to>
      <xdr:col>18</xdr:col>
      <xdr:colOff>861060</xdr:colOff>
      <xdr:row>34</xdr:row>
      <xdr:rowOff>128779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AE920402-F904-6C76-B630-B6E817D22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" y="4168140"/>
          <a:ext cx="12352020" cy="20871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288759</xdr:colOff>
      <xdr:row>17</xdr:row>
      <xdr:rowOff>60960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768E5D5-BE7B-8047-F9BD-36A81BA2E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6759" cy="318516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22</xdr:row>
      <xdr:rowOff>152400</xdr:rowOff>
    </xdr:from>
    <xdr:to>
      <xdr:col>18</xdr:col>
      <xdr:colOff>929640</xdr:colOff>
      <xdr:row>34</xdr:row>
      <xdr:rowOff>99060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9D64280D-D2EA-F7E2-AB54-3388C4233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4175760"/>
          <a:ext cx="12298680" cy="2049780"/>
        </a:xfrm>
        <a:prstGeom prst="rect">
          <a:avLst/>
        </a:prstGeom>
      </xdr:spPr>
    </xdr:pic>
    <xdr:clientData/>
  </xdr:twoCellAnchor>
  <xdr:twoCellAnchor editAs="oneCell">
    <xdr:from>
      <xdr:col>1</xdr:col>
      <xdr:colOff>388620</xdr:colOff>
      <xdr:row>38</xdr:row>
      <xdr:rowOff>68580</xdr:rowOff>
    </xdr:from>
    <xdr:to>
      <xdr:col>18</xdr:col>
      <xdr:colOff>1013460</xdr:colOff>
      <xdr:row>50</xdr:row>
      <xdr:rowOff>15240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44A028EB-4CE3-47C4-8634-C216EFDED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0" y="6896100"/>
          <a:ext cx="12298680" cy="2049780"/>
        </a:xfrm>
        <a:prstGeom prst="rect">
          <a:avLst/>
        </a:prstGeom>
      </xdr:spPr>
    </xdr:pic>
    <xdr:clientData/>
  </xdr:twoCellAnchor>
  <xdr:twoCellAnchor editAs="oneCell">
    <xdr:from>
      <xdr:col>1</xdr:col>
      <xdr:colOff>274320</xdr:colOff>
      <xdr:row>38</xdr:row>
      <xdr:rowOff>45720</xdr:rowOff>
    </xdr:from>
    <xdr:to>
      <xdr:col>18</xdr:col>
      <xdr:colOff>957006</xdr:colOff>
      <xdr:row>50</xdr:row>
      <xdr:rowOff>30480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974E2395-4836-D42E-64FC-F0E64D228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" y="6873240"/>
          <a:ext cx="12356526" cy="2087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D1:T18"/>
  <sheetViews>
    <sheetView workbookViewId="0">
      <selection activeCell="O1" sqref="O1:T7"/>
    </sheetView>
  </sheetViews>
  <sheetFormatPr defaultRowHeight="13.8" x14ac:dyDescent="0.25"/>
  <cols>
    <col min="8" max="8" width="14.77734375" customWidth="1"/>
    <col min="9" max="9" width="11.21875" bestFit="1" customWidth="1"/>
    <col min="10" max="10" width="10.109375" bestFit="1" customWidth="1"/>
    <col min="11" max="11" width="10" bestFit="1" customWidth="1"/>
    <col min="12" max="12" width="15.33203125" customWidth="1"/>
    <col min="13" max="13" width="14.44140625" customWidth="1"/>
    <col min="16" max="18" width="9.44140625" bestFit="1" customWidth="1"/>
    <col min="19" max="19" width="13.33203125" bestFit="1" customWidth="1"/>
    <col min="20" max="20" width="11.88671875" bestFit="1" customWidth="1"/>
  </cols>
  <sheetData>
    <row r="1" spans="4:20" ht="14.4" x14ac:dyDescent="0.25">
      <c r="H1" s="2" t="s">
        <v>2</v>
      </c>
      <c r="I1" s="2" t="s">
        <v>0</v>
      </c>
      <c r="J1" s="2" t="s">
        <v>1</v>
      </c>
      <c r="K1" s="2" t="s">
        <v>3</v>
      </c>
      <c r="L1" s="2" t="s">
        <v>4</v>
      </c>
      <c r="M1" s="2" t="s">
        <v>5</v>
      </c>
      <c r="O1" s="42" t="s">
        <v>86</v>
      </c>
      <c r="P1" s="42" t="s">
        <v>0</v>
      </c>
      <c r="Q1" s="42" t="s">
        <v>1</v>
      </c>
      <c r="R1" s="42" t="s">
        <v>75</v>
      </c>
      <c r="S1" s="42" t="s">
        <v>76</v>
      </c>
      <c r="T1" s="42" t="s">
        <v>77</v>
      </c>
    </row>
    <row r="2" spans="4:20" ht="14.4" x14ac:dyDescent="0.25">
      <c r="H2" s="19" t="s">
        <v>21</v>
      </c>
      <c r="I2" s="3">
        <v>0.34899999999999998</v>
      </c>
      <c r="J2" s="3">
        <v>0.34899999999999998</v>
      </c>
      <c r="K2" s="3">
        <v>0.34699999999999998</v>
      </c>
      <c r="L2" s="4">
        <v>-6.1999999999999998E-3</v>
      </c>
      <c r="M2" s="4">
        <v>-6.1999999999999998E-3</v>
      </c>
      <c r="O2" s="42" t="s">
        <v>21</v>
      </c>
      <c r="P2" s="37">
        <v>0.34899999999999998</v>
      </c>
      <c r="Q2" s="37">
        <v>0.34899999999999998</v>
      </c>
      <c r="R2" s="37">
        <v>0.34699999999999998</v>
      </c>
      <c r="S2" s="36">
        <v>-6.1999999999999998E-3</v>
      </c>
      <c r="T2" s="36">
        <v>-6.1999999999999998E-3</v>
      </c>
    </row>
    <row r="3" spans="4:20" ht="14.4" x14ac:dyDescent="0.25">
      <c r="H3" s="19" t="s">
        <v>22</v>
      </c>
      <c r="I3" s="3">
        <v>0.34899999999999998</v>
      </c>
      <c r="J3" s="3">
        <v>0.34899999999999998</v>
      </c>
      <c r="K3" s="3">
        <v>0.34699999999999998</v>
      </c>
      <c r="L3" s="4">
        <v>-6.1999999999999998E-3</v>
      </c>
      <c r="M3" s="4">
        <v>-6.1999999999999998E-3</v>
      </c>
      <c r="O3" s="42" t="s">
        <v>22</v>
      </c>
      <c r="P3" s="37">
        <v>0.34899999999999998</v>
      </c>
      <c r="Q3" s="37">
        <v>0.34899999999999998</v>
      </c>
      <c r="R3" s="37">
        <v>0.34699999999999998</v>
      </c>
      <c r="S3" s="36">
        <v>-6.1999999999999998E-3</v>
      </c>
      <c r="T3" s="36">
        <v>-6.1999999999999998E-3</v>
      </c>
    </row>
    <row r="4" spans="4:20" ht="14.4" x14ac:dyDescent="0.25">
      <c r="H4" s="19" t="s">
        <v>23</v>
      </c>
      <c r="I4" s="3">
        <v>1</v>
      </c>
      <c r="J4" s="3">
        <v>1</v>
      </c>
      <c r="K4" s="3">
        <v>1</v>
      </c>
      <c r="L4" s="4">
        <v>0</v>
      </c>
      <c r="M4" s="4">
        <v>0</v>
      </c>
      <c r="O4" s="42" t="s">
        <v>23</v>
      </c>
      <c r="P4" s="37">
        <v>1</v>
      </c>
      <c r="Q4" s="37">
        <v>1</v>
      </c>
      <c r="R4" s="37">
        <v>1</v>
      </c>
      <c r="S4" s="36">
        <v>0</v>
      </c>
      <c r="T4" s="36">
        <v>0</v>
      </c>
    </row>
    <row r="5" spans="4:20" ht="14.4" x14ac:dyDescent="0.25">
      <c r="H5" s="19" t="s">
        <v>24</v>
      </c>
      <c r="I5" s="3">
        <v>8.34E-4</v>
      </c>
      <c r="J5" s="3">
        <v>8.34E-4</v>
      </c>
      <c r="K5" s="3">
        <v>8.3299999999999997E-4</v>
      </c>
      <c r="L5" s="4">
        <v>-5.9999999999999995E-4</v>
      </c>
      <c r="M5" s="4">
        <v>-5.9999999999999995E-4</v>
      </c>
      <c r="O5" s="42" t="s">
        <v>24</v>
      </c>
      <c r="P5" s="37">
        <v>8.34E-4</v>
      </c>
      <c r="Q5" s="37">
        <v>8.34E-4</v>
      </c>
      <c r="R5" s="37">
        <v>8.3299999999999997E-4</v>
      </c>
      <c r="S5" s="36">
        <v>-5.9999999999999995E-4</v>
      </c>
      <c r="T5" s="36">
        <v>-5.9999999999999995E-4</v>
      </c>
    </row>
    <row r="6" spans="4:20" ht="14.4" x14ac:dyDescent="0.25">
      <c r="H6" s="19" t="s">
        <v>25</v>
      </c>
      <c r="I6" s="3">
        <v>8.34E-4</v>
      </c>
      <c r="J6" s="3">
        <v>8.34E-4</v>
      </c>
      <c r="K6" s="3">
        <v>8.3299999999999997E-4</v>
      </c>
      <c r="L6" s="4">
        <v>-5.9999999999999995E-4</v>
      </c>
      <c r="M6" s="4">
        <v>-5.9999999999999995E-4</v>
      </c>
      <c r="O6" s="42" t="s">
        <v>25</v>
      </c>
      <c r="P6" s="37">
        <v>8.34E-4</v>
      </c>
      <c r="Q6" s="37">
        <v>8.34E-4</v>
      </c>
      <c r="R6" s="37">
        <v>8.3299999999999997E-4</v>
      </c>
      <c r="S6" s="36">
        <v>-5.9999999999999995E-4</v>
      </c>
      <c r="T6" s="36">
        <v>-5.9999999999999995E-4</v>
      </c>
    </row>
    <row r="7" spans="4:20" ht="14.4" x14ac:dyDescent="0.25">
      <c r="H7" s="19" t="s">
        <v>26</v>
      </c>
      <c r="I7" s="3">
        <v>5.9100000000000005E-4</v>
      </c>
      <c r="J7" s="3">
        <v>5.9100000000000005E-4</v>
      </c>
      <c r="K7" s="3">
        <v>5.8699999999999996E-4</v>
      </c>
      <c r="L7" s="4">
        <v>-6.7000000000000002E-3</v>
      </c>
      <c r="M7" s="4">
        <v>-6.7000000000000002E-3</v>
      </c>
      <c r="O7" s="42" t="s">
        <v>26</v>
      </c>
      <c r="P7" s="37">
        <v>5.9100000000000005E-4</v>
      </c>
      <c r="Q7" s="37">
        <v>5.9100000000000005E-4</v>
      </c>
      <c r="R7" s="37">
        <v>5.8699999999999996E-4</v>
      </c>
      <c r="S7" s="36">
        <v>-6.7000000000000002E-3</v>
      </c>
      <c r="T7" s="36">
        <v>-6.7000000000000002E-3</v>
      </c>
    </row>
    <row r="11" spans="4:20" x14ac:dyDescent="0.25">
      <c r="H11" s="38" t="s">
        <v>2</v>
      </c>
      <c r="I11" s="38" t="s">
        <v>0</v>
      </c>
      <c r="J11" s="38" t="s">
        <v>1</v>
      </c>
      <c r="K11" s="38" t="s">
        <v>3</v>
      </c>
      <c r="L11" s="38" t="s">
        <v>4</v>
      </c>
      <c r="M11" s="38" t="s">
        <v>5</v>
      </c>
    </row>
    <row r="12" spans="4:20" ht="14.4" x14ac:dyDescent="0.25">
      <c r="H12" s="41" t="s">
        <v>21</v>
      </c>
      <c r="I12" s="39">
        <v>0.34899999999999998</v>
      </c>
      <c r="J12" s="39">
        <v>0.34899999999999998</v>
      </c>
      <c r="K12" s="39">
        <v>0.34699999999999998</v>
      </c>
      <c r="L12" s="40">
        <v>-6.1999999999999998E-3</v>
      </c>
      <c r="M12" s="40">
        <v>-6.1999999999999998E-3</v>
      </c>
    </row>
    <row r="13" spans="4:20" ht="14.4" x14ac:dyDescent="0.25">
      <c r="H13" s="41" t="s">
        <v>22</v>
      </c>
      <c r="I13" s="39">
        <v>0.34899999999999998</v>
      </c>
      <c r="J13" s="39">
        <v>0.34899999999999998</v>
      </c>
      <c r="K13" s="39">
        <v>0.34699999999999998</v>
      </c>
      <c r="L13" s="40">
        <v>-6.1999999999999998E-3</v>
      </c>
      <c r="M13" s="40">
        <v>-6.1999999999999998E-3</v>
      </c>
    </row>
    <row r="14" spans="4:20" ht="14.4" x14ac:dyDescent="0.25">
      <c r="D14" s="35" t="s">
        <v>70</v>
      </c>
      <c r="E14" s="35" t="s">
        <v>71</v>
      </c>
      <c r="F14" s="35" t="s">
        <v>72</v>
      </c>
      <c r="H14" s="41" t="s">
        <v>23</v>
      </c>
      <c r="I14" s="39">
        <v>1</v>
      </c>
      <c r="J14" s="39">
        <v>1</v>
      </c>
      <c r="K14" s="39">
        <v>1</v>
      </c>
      <c r="L14" s="40">
        <v>0</v>
      </c>
      <c r="M14" s="40">
        <v>0</v>
      </c>
    </row>
    <row r="15" spans="4:20" ht="14.4" x14ac:dyDescent="0.25">
      <c r="D15" s="35" t="s">
        <v>67</v>
      </c>
      <c r="E15" s="35">
        <v>100</v>
      </c>
      <c r="F15" s="35" t="s">
        <v>64</v>
      </c>
      <c r="H15" s="41" t="s">
        <v>24</v>
      </c>
      <c r="I15" s="39">
        <v>8.34E-4</v>
      </c>
      <c r="J15" s="39">
        <v>8.34E-4</v>
      </c>
      <c r="K15" s="39">
        <v>8.3299999999999997E-4</v>
      </c>
      <c r="L15" s="40">
        <v>-5.9999999999999995E-4</v>
      </c>
      <c r="M15" s="40">
        <v>-5.9999999999999995E-4</v>
      </c>
    </row>
    <row r="16" spans="4:20" ht="14.4" x14ac:dyDescent="0.25">
      <c r="D16" s="35" t="s">
        <v>68</v>
      </c>
      <c r="E16" s="35">
        <v>41.667000000000002</v>
      </c>
      <c r="F16" s="35" t="s">
        <v>65</v>
      </c>
      <c r="H16" s="41" t="s">
        <v>25</v>
      </c>
      <c r="I16" s="39">
        <v>8.34E-4</v>
      </c>
      <c r="J16" s="39">
        <v>8.34E-4</v>
      </c>
      <c r="K16" s="39">
        <v>8.3299999999999997E-4</v>
      </c>
      <c r="L16" s="40">
        <v>-5.9999999999999995E-4</v>
      </c>
      <c r="M16" s="40">
        <v>-5.9999999999999995E-4</v>
      </c>
    </row>
    <row r="17" spans="4:13" ht="14.4" x14ac:dyDescent="0.25">
      <c r="D17" s="35" t="s">
        <v>69</v>
      </c>
      <c r="E17" s="35">
        <v>0.2</v>
      </c>
      <c r="F17" s="35" t="s">
        <v>65</v>
      </c>
      <c r="H17" s="41" t="s">
        <v>26</v>
      </c>
      <c r="I17" s="39">
        <v>5.9100000000000005E-4</v>
      </c>
      <c r="J17" s="39">
        <v>5.9100000000000005E-4</v>
      </c>
      <c r="K17" s="39">
        <v>5.8699999999999996E-4</v>
      </c>
      <c r="L17" s="40">
        <v>-6.7000000000000002E-3</v>
      </c>
      <c r="M17" s="40">
        <v>-6.7000000000000002E-3</v>
      </c>
    </row>
    <row r="18" spans="4:13" ht="14.4" x14ac:dyDescent="0.25">
      <c r="D18" s="35" t="s">
        <v>73</v>
      </c>
      <c r="E18" s="35">
        <v>1</v>
      </c>
      <c r="F18" s="35" t="s">
        <v>66</v>
      </c>
    </row>
  </sheetData>
  <phoneticPr fontId="2" type="noConversion"/>
  <conditionalFormatting sqref="H1:M7">
    <cfRule type="expression" dxfId="29" priority="3" stopIfTrue="1">
      <formula>MOD(ROW()-1+1,2)=0</formula>
    </cfRule>
    <cfRule type="expression" dxfId="28" priority="4" stopIfTrue="1">
      <formula>MOD(ROW()-1+1,2)=1</formula>
    </cfRule>
  </conditionalFormatting>
  <conditionalFormatting sqref="H11:M17">
    <cfRule type="expression" dxfId="17" priority="1" stopIfTrue="1">
      <formula>MOD(ROW()-1+1,2)=0</formula>
    </cfRule>
    <cfRule type="expression" dxfId="16" priority="2" stopIfTrue="1">
      <formula>MOD(ROW()-1+1,2)=1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2598-8F42-4B8D-AE8F-15E2B44B767B}">
  <sheetPr codeName="Sheet2"/>
  <dimension ref="H1:U15"/>
  <sheetViews>
    <sheetView tabSelected="1" workbookViewId="0">
      <selection activeCell="S22" sqref="S22"/>
    </sheetView>
  </sheetViews>
  <sheetFormatPr defaultRowHeight="13.8" x14ac:dyDescent="0.25"/>
  <cols>
    <col min="7" max="7" width="9.44140625" bestFit="1" customWidth="1"/>
    <col min="8" max="8" width="15.5546875" customWidth="1"/>
    <col min="12" max="12" width="13.88671875" customWidth="1"/>
    <col min="13" max="13" width="12.5546875" customWidth="1"/>
    <col min="16" max="16" width="11.88671875" customWidth="1"/>
    <col min="20" max="21" width="15.33203125" customWidth="1"/>
  </cols>
  <sheetData>
    <row r="1" spans="8:21" x14ac:dyDescent="0.25">
      <c r="H1" s="2" t="s">
        <v>2</v>
      </c>
      <c r="I1" s="2" t="s">
        <v>63</v>
      </c>
      <c r="J1" s="2" t="s">
        <v>17</v>
      </c>
      <c r="K1" s="2" t="s">
        <v>3</v>
      </c>
      <c r="L1" s="2" t="s">
        <v>4</v>
      </c>
      <c r="M1" s="2" t="s">
        <v>5</v>
      </c>
      <c r="P1" s="39" t="s">
        <v>74</v>
      </c>
      <c r="Q1" s="39" t="s">
        <v>0</v>
      </c>
      <c r="R1" s="39" t="s">
        <v>1</v>
      </c>
      <c r="S1" s="39" t="s">
        <v>75</v>
      </c>
      <c r="T1" s="39" t="s">
        <v>76</v>
      </c>
      <c r="U1" s="39" t="s">
        <v>77</v>
      </c>
    </row>
    <row r="2" spans="8:21" ht="15.6" x14ac:dyDescent="0.25">
      <c r="H2" s="19" t="s">
        <v>50</v>
      </c>
      <c r="I2" s="3">
        <v>0.5</v>
      </c>
      <c r="J2" s="3">
        <v>0.5</v>
      </c>
      <c r="K2" s="3">
        <v>0.50050567233054499</v>
      </c>
      <c r="L2" s="4">
        <v>1.0113446610899857E-3</v>
      </c>
      <c r="M2" s="4">
        <v>1.0113446610899857E-3</v>
      </c>
      <c r="P2" s="41" t="s">
        <v>78</v>
      </c>
      <c r="Q2" s="39">
        <v>0.5</v>
      </c>
      <c r="R2" s="39">
        <v>0.5</v>
      </c>
      <c r="S2" s="39">
        <v>0.50050567233054499</v>
      </c>
      <c r="T2" s="40">
        <v>1.0113446610899857E-3</v>
      </c>
      <c r="U2" s="40">
        <v>1.0113446610899857E-3</v>
      </c>
    </row>
    <row r="3" spans="8:21" ht="15.6" x14ac:dyDescent="0.25">
      <c r="H3" s="19" t="s">
        <v>51</v>
      </c>
      <c r="I3" s="3">
        <v>0.16800000000000001</v>
      </c>
      <c r="J3" s="3">
        <v>0.16800000000000001</v>
      </c>
      <c r="K3" s="3">
        <v>0.164203495238473</v>
      </c>
      <c r="L3" s="4">
        <v>-2.2598242628136988E-2</v>
      </c>
      <c r="M3" s="4">
        <v>-2.2598242628136988E-2</v>
      </c>
      <c r="P3" s="41" t="s">
        <v>79</v>
      </c>
      <c r="Q3" s="39">
        <v>0.16800000000000001</v>
      </c>
      <c r="R3" s="39">
        <v>0.16800000000000001</v>
      </c>
      <c r="S3" s="39">
        <v>0.164203495238473</v>
      </c>
      <c r="T3" s="40">
        <v>-2.2598242628136988E-2</v>
      </c>
      <c r="U3" s="40">
        <v>-2.2598242628136988E-2</v>
      </c>
    </row>
    <row r="4" spans="8:21" ht="15.6" x14ac:dyDescent="0.25">
      <c r="H4" s="19" t="s">
        <v>52</v>
      </c>
      <c r="I4" s="3">
        <v>0.17499999999999999</v>
      </c>
      <c r="J4" s="3">
        <v>0.17499999999999999</v>
      </c>
      <c r="K4" s="3">
        <v>0.174106455849939</v>
      </c>
      <c r="L4" s="4">
        <v>-5.1059665717770718E-3</v>
      </c>
      <c r="M4" s="4">
        <v>-5.1059665717770718E-3</v>
      </c>
      <c r="P4" s="41" t="s">
        <v>80</v>
      </c>
      <c r="Q4" s="39">
        <v>0.17499999999999999</v>
      </c>
      <c r="R4" s="39">
        <v>0.17499999999999999</v>
      </c>
      <c r="S4" s="39">
        <v>0.174106455849939</v>
      </c>
      <c r="T4" s="40">
        <v>-5.1059665717770718E-3</v>
      </c>
      <c r="U4" s="40">
        <v>-5.1059665717770718E-3</v>
      </c>
    </row>
    <row r="5" spans="8:21" ht="15.6" x14ac:dyDescent="0.25">
      <c r="H5" s="19" t="s">
        <v>53</v>
      </c>
      <c r="I5" s="3">
        <v>2.31E-4</v>
      </c>
      <c r="J5" s="3">
        <v>2.31E-4</v>
      </c>
      <c r="K5" s="3">
        <v>2.3346063888922701E-4</v>
      </c>
      <c r="L5" s="4">
        <v>1.0652116403580107E-2</v>
      </c>
      <c r="M5" s="4">
        <v>1.0652116403580107E-2</v>
      </c>
      <c r="P5" s="41" t="s">
        <v>81</v>
      </c>
      <c r="Q5" s="39">
        <v>2.31E-4</v>
      </c>
      <c r="R5" s="39">
        <v>2.31E-4</v>
      </c>
      <c r="S5" s="39">
        <v>2.3346063888922701E-4</v>
      </c>
      <c r="T5" s="40">
        <v>1.0652116403580107E-2</v>
      </c>
      <c r="U5" s="40">
        <v>1.0652116403580107E-2</v>
      </c>
    </row>
    <row r="6" spans="8:21" ht="15.6" x14ac:dyDescent="0.25">
      <c r="H6" s="19" t="s">
        <v>54</v>
      </c>
      <c r="I6" s="3">
        <v>2.31E-4</v>
      </c>
      <c r="J6" s="3">
        <v>2.31E-4</v>
      </c>
      <c r="K6" s="3">
        <v>2.3346063888922701E-4</v>
      </c>
      <c r="L6" s="4">
        <v>1.0652116403580107E-2</v>
      </c>
      <c r="M6" s="4">
        <v>1.0652116403580107E-2</v>
      </c>
      <c r="P6" s="41" t="s">
        <v>82</v>
      </c>
      <c r="Q6" s="39">
        <v>2.31E-4</v>
      </c>
      <c r="R6" s="39">
        <v>2.31E-4</v>
      </c>
      <c r="S6" s="39">
        <v>2.3346063888922701E-4</v>
      </c>
      <c r="T6" s="40">
        <v>1.0652116403580107E-2</v>
      </c>
      <c r="U6" s="40">
        <v>1.0652116403580107E-2</v>
      </c>
    </row>
    <row r="7" spans="8:21" ht="15.6" x14ac:dyDescent="0.25">
      <c r="H7" s="19" t="s">
        <v>55</v>
      </c>
      <c r="I7" s="3">
        <v>4.17E-4</v>
      </c>
      <c r="J7" s="3">
        <v>4.17E-4</v>
      </c>
      <c r="K7" s="3">
        <v>4.1714924118805598E-4</v>
      </c>
      <c r="L7" s="4">
        <v>3.5789253730450558E-4</v>
      </c>
      <c r="M7" s="4">
        <v>3.5789253730450558E-4</v>
      </c>
      <c r="P7" s="41" t="s">
        <v>83</v>
      </c>
      <c r="Q7" s="39">
        <v>4.17E-4</v>
      </c>
      <c r="R7" s="39">
        <v>4.17E-4</v>
      </c>
      <c r="S7" s="39">
        <v>4.1714924118805598E-4</v>
      </c>
      <c r="T7" s="40">
        <v>3.5789253730450558E-4</v>
      </c>
      <c r="U7" s="40">
        <v>3.5789253730450558E-4</v>
      </c>
    </row>
    <row r="8" spans="8:21" ht="14.4" x14ac:dyDescent="0.25">
      <c r="H8" s="19" t="s">
        <v>56</v>
      </c>
      <c r="I8" s="3">
        <v>2.495E-2</v>
      </c>
      <c r="J8" s="3">
        <v>2.495E-2</v>
      </c>
      <c r="K8" s="3">
        <v>2.49501743819904E-2</v>
      </c>
      <c r="L8" s="4">
        <v>6.9892581322539349E-6</v>
      </c>
      <c r="M8" s="4">
        <v>6.9892581322539349E-6</v>
      </c>
      <c r="P8" s="39" t="s">
        <v>84</v>
      </c>
      <c r="Q8" s="39">
        <v>2.495E-2</v>
      </c>
      <c r="R8" s="39">
        <v>2.495E-2</v>
      </c>
      <c r="S8" s="39">
        <v>2.49501743819904E-2</v>
      </c>
      <c r="T8" s="40">
        <v>6.9892581322539349E-6</v>
      </c>
      <c r="U8" s="40">
        <v>6.9892581322539349E-6</v>
      </c>
    </row>
    <row r="9" spans="8:21" ht="14.4" x14ac:dyDescent="0.25">
      <c r="H9" s="19" t="s">
        <v>57</v>
      </c>
      <c r="I9" s="3">
        <v>2.495E-2</v>
      </c>
      <c r="J9" s="3">
        <v>2.495E-2</v>
      </c>
      <c r="K9" s="3">
        <v>2.49496355895664E-2</v>
      </c>
      <c r="L9" s="4">
        <v>-1.4605628601183441E-5</v>
      </c>
      <c r="M9" s="4">
        <v>-1.4605628601183441E-5</v>
      </c>
      <c r="P9" s="39" t="s">
        <v>85</v>
      </c>
      <c r="Q9" s="39">
        <v>2.495E-2</v>
      </c>
      <c r="R9" s="39">
        <v>2.495E-2</v>
      </c>
      <c r="S9" s="39">
        <v>2.49496355895664E-2</v>
      </c>
      <c r="T9" s="40">
        <v>-1.4605628601183441E-5</v>
      </c>
      <c r="U9" s="40">
        <v>-1.4605628601183441E-5</v>
      </c>
    </row>
    <row r="14" spans="8:21" x14ac:dyDescent="0.25">
      <c r="T14" s="40"/>
    </row>
    <row r="15" spans="8:21" x14ac:dyDescent="0.25">
      <c r="S15" s="39"/>
    </row>
  </sheetData>
  <phoneticPr fontId="2" type="noConversion"/>
  <conditionalFormatting sqref="H1:M9">
    <cfRule type="expression" dxfId="27" priority="11" stopIfTrue="1">
      <formula>MOD(ROW()-1+1,2)=0</formula>
    </cfRule>
    <cfRule type="expression" dxfId="26" priority="12" stopIfTrue="1">
      <formula>MOD(ROW()-1+1,2)=1</formula>
    </cfRule>
  </conditionalFormatting>
  <conditionalFormatting sqref="M1">
    <cfRule type="expression" dxfId="25" priority="9" stopIfTrue="1">
      <formula>MOD(ROW()-1+1,2)=0</formula>
    </cfRule>
    <cfRule type="expression" dxfId="24" priority="10" stopIfTrue="1">
      <formula>MOD(ROW()-1+1,2)=1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3D0D-8308-4905-A5BD-D30CF6E63F24}">
  <sheetPr codeName="Sheet3"/>
  <dimension ref="H1:V32"/>
  <sheetViews>
    <sheetView workbookViewId="0">
      <selection activeCell="F43" sqref="F43"/>
    </sheetView>
  </sheetViews>
  <sheetFormatPr defaultRowHeight="13.8" x14ac:dyDescent="0.25"/>
  <cols>
    <col min="8" max="8" width="10.44140625" style="5" bestFit="1" customWidth="1"/>
    <col min="9" max="9" width="13.6640625" style="6" customWidth="1"/>
    <col min="10" max="10" width="10.44140625" style="6" bestFit="1" customWidth="1"/>
    <col min="11" max="11" width="12.88671875" style="6" bestFit="1" customWidth="1"/>
    <col min="12" max="14" width="10.44140625" style="6" bestFit="1" customWidth="1"/>
    <col min="16" max="16" width="10.6640625" customWidth="1"/>
    <col min="17" max="17" width="10.5546875" customWidth="1"/>
    <col min="18" max="18" width="10.5546875" bestFit="1" customWidth="1"/>
    <col min="19" max="19" width="12.88671875" bestFit="1" customWidth="1"/>
    <col min="20" max="22" width="10.44140625" bestFit="1" customWidth="1"/>
  </cols>
  <sheetData>
    <row r="1" spans="8:22" ht="14.4" thickBot="1" x14ac:dyDescent="0.3">
      <c r="H1" s="34" t="s">
        <v>32</v>
      </c>
      <c r="I1" s="34"/>
      <c r="J1" s="34"/>
      <c r="K1" s="34"/>
      <c r="L1" s="34"/>
      <c r="M1" s="34"/>
      <c r="N1" s="34"/>
      <c r="P1" s="30" t="s">
        <v>33</v>
      </c>
      <c r="Q1" s="30"/>
      <c r="R1" s="30"/>
      <c r="S1" s="30"/>
      <c r="T1" s="30"/>
      <c r="U1" s="30"/>
      <c r="V1" s="30"/>
    </row>
    <row r="2" spans="8:22" ht="16.2" customHeight="1" thickTop="1" thickBot="1" x14ac:dyDescent="0.3">
      <c r="H2" s="10" t="s">
        <v>19</v>
      </c>
      <c r="I2" s="18" t="s">
        <v>6</v>
      </c>
      <c r="J2" s="18" t="s">
        <v>7</v>
      </c>
      <c r="K2" s="18" t="s">
        <v>20</v>
      </c>
      <c r="L2" s="18" t="s">
        <v>8</v>
      </c>
      <c r="M2" s="18" t="s">
        <v>9</v>
      </c>
      <c r="N2" s="18" t="s">
        <v>30</v>
      </c>
      <c r="P2" s="10" t="s">
        <v>19</v>
      </c>
      <c r="Q2" s="18" t="s">
        <v>6</v>
      </c>
      <c r="R2" s="18" t="s">
        <v>7</v>
      </c>
      <c r="S2" s="18" t="s">
        <v>20</v>
      </c>
      <c r="T2" s="18" t="s">
        <v>8</v>
      </c>
      <c r="U2" s="18" t="s">
        <v>9</v>
      </c>
      <c r="V2" s="18" t="s">
        <v>30</v>
      </c>
    </row>
    <row r="3" spans="8:22" ht="14.4" thickTop="1" x14ac:dyDescent="0.25">
      <c r="H3" s="32" t="s">
        <v>27</v>
      </c>
      <c r="I3" s="7" t="s">
        <v>10</v>
      </c>
      <c r="J3" s="7">
        <v>5500000000</v>
      </c>
      <c r="K3" s="7">
        <v>215200000</v>
      </c>
      <c r="L3" s="7">
        <v>161400000</v>
      </c>
      <c r="M3" s="7">
        <v>8.2639999999999993</v>
      </c>
      <c r="N3" s="7">
        <v>211</v>
      </c>
      <c r="P3" s="32" t="s">
        <v>27</v>
      </c>
      <c r="Q3" s="7" t="s">
        <v>10</v>
      </c>
      <c r="R3" s="15">
        <f>(J3-$J$8)/J3</f>
        <v>6.6592347745063604E-2</v>
      </c>
      <c r="S3" s="15">
        <f>(K3-$K$8)/K3</f>
        <v>6.06414136693448E-2</v>
      </c>
      <c r="T3" s="15">
        <f>(L3-$L$8)/L3</f>
        <v>5.9846874535210627E-2</v>
      </c>
      <c r="U3" s="15">
        <f>(M3-$M$8)/M3</f>
        <v>6.2133917937558049E-2</v>
      </c>
      <c r="V3" s="15">
        <f>(N3-$N$8)/N3</f>
        <v>6.6774144989573403E-2</v>
      </c>
    </row>
    <row r="4" spans="8:22" x14ac:dyDescent="0.25">
      <c r="H4" s="32"/>
      <c r="I4" s="7" t="s">
        <v>1</v>
      </c>
      <c r="J4" s="7">
        <v>5128000000</v>
      </c>
      <c r="K4" s="7">
        <v>202200000</v>
      </c>
      <c r="L4" s="7">
        <v>154400000</v>
      </c>
      <c r="M4" s="7">
        <v>7.7549999999999999</v>
      </c>
      <c r="N4" s="7">
        <v>196.7</v>
      </c>
      <c r="P4" s="32"/>
      <c r="Q4" s="7" t="s">
        <v>1</v>
      </c>
      <c r="R4" s="15">
        <f t="shared" ref="R4:R8" si="0">(J4-$J$8)/J4</f>
        <v>-1.1197518334926198E-3</v>
      </c>
      <c r="S4" s="15">
        <f t="shared" ref="S4:S8" si="1">(K4-$K$8)/K4</f>
        <v>2.4743927617705661E-4</v>
      </c>
      <c r="T4" s="15">
        <f t="shared" ref="T4:T8" si="2">(L4-$L$8)/L4</f>
        <v>1.7223352007661882E-2</v>
      </c>
      <c r="U4" s="15">
        <f t="shared" ref="U4:U8" si="3">(M4-$M$8)/M4</f>
        <v>5.7700810264090289E-4</v>
      </c>
      <c r="V4" s="15">
        <f t="shared" ref="V4:V8" si="4">(N4-$N$8)/N4</f>
        <v>-1.0709476725979776E-3</v>
      </c>
    </row>
    <row r="5" spans="8:22" x14ac:dyDescent="0.25">
      <c r="H5" s="32"/>
      <c r="I5" s="7" t="s">
        <v>11</v>
      </c>
      <c r="J5" s="7" t="s">
        <v>31</v>
      </c>
      <c r="K5" s="7">
        <v>202400000</v>
      </c>
      <c r="L5" s="7">
        <v>141300000</v>
      </c>
      <c r="M5" s="7" t="s">
        <v>31</v>
      </c>
      <c r="N5" s="7">
        <v>197</v>
      </c>
      <c r="P5" s="32"/>
      <c r="Q5" s="7" t="s">
        <v>11</v>
      </c>
      <c r="R5" s="15" t="s">
        <v>31</v>
      </c>
      <c r="S5" s="15">
        <f t="shared" si="1"/>
        <v>1.2353370634535614E-3</v>
      </c>
      <c r="T5" s="15">
        <f t="shared" si="2"/>
        <v>-7.3890406581861329E-2</v>
      </c>
      <c r="U5" s="15" t="s">
        <v>31</v>
      </c>
      <c r="V5" s="15">
        <f t="shared" si="4"/>
        <v>4.5352585177659487E-4</v>
      </c>
    </row>
    <row r="6" spans="8:22" x14ac:dyDescent="0.25">
      <c r="H6" s="32"/>
      <c r="I6" s="7" t="s">
        <v>12</v>
      </c>
      <c r="J6" s="7">
        <v>5138000000</v>
      </c>
      <c r="K6" s="7">
        <v>201400000</v>
      </c>
      <c r="L6" s="7">
        <v>122700000</v>
      </c>
      <c r="M6" s="7">
        <v>7.726</v>
      </c>
      <c r="N6" s="7">
        <v>197.1</v>
      </c>
      <c r="P6" s="32"/>
      <c r="Q6" s="7" t="s">
        <v>12</v>
      </c>
      <c r="R6" s="15">
        <f t="shared" si="0"/>
        <v>8.2871012025104043E-4</v>
      </c>
      <c r="S6" s="15">
        <f t="shared" si="1"/>
        <v>-3.7237724843942363E-3</v>
      </c>
      <c r="T6" s="15">
        <f t="shared" si="2"/>
        <v>-0.23668063936444178</v>
      </c>
      <c r="U6" s="15">
        <f t="shared" si="3"/>
        <v>-3.1743854729510373E-3</v>
      </c>
      <c r="V6" s="15">
        <f t="shared" si="4"/>
        <v>9.6065242415009394E-4</v>
      </c>
    </row>
    <row r="7" spans="8:22" x14ac:dyDescent="0.25">
      <c r="H7" s="32"/>
      <c r="I7" s="7" t="s">
        <v>13</v>
      </c>
      <c r="J7" s="7">
        <v>5137000000</v>
      </c>
      <c r="K7" s="7">
        <v>202400000</v>
      </c>
      <c r="L7" s="7">
        <v>155300000</v>
      </c>
      <c r="M7" s="7">
        <v>7.7629999999999999</v>
      </c>
      <c r="N7" s="7">
        <v>197</v>
      </c>
      <c r="P7" s="32"/>
      <c r="Q7" s="7" t="s">
        <v>13</v>
      </c>
      <c r="R7" s="15">
        <f t="shared" si="0"/>
        <v>6.3420529450065129E-4</v>
      </c>
      <c r="S7" s="15">
        <f t="shared" si="1"/>
        <v>1.2353370634535614E-3</v>
      </c>
      <c r="T7" s="15">
        <f t="shared" si="2"/>
        <v>2.2918773663766868E-2</v>
      </c>
      <c r="U7" s="15">
        <f t="shared" si="3"/>
        <v>1.606942913304162E-3</v>
      </c>
      <c r="V7" s="15">
        <f t="shared" si="4"/>
        <v>4.5352585177659487E-4</v>
      </c>
    </row>
    <row r="8" spans="8:22" x14ac:dyDescent="0.25">
      <c r="H8" s="33"/>
      <c r="I8" s="7" t="s">
        <v>3</v>
      </c>
      <c r="J8" s="7">
        <v>5133742087.4021502</v>
      </c>
      <c r="K8" s="7">
        <v>202149967.778357</v>
      </c>
      <c r="L8" s="7">
        <v>151740714.45001701</v>
      </c>
      <c r="M8" s="7">
        <v>7.7505253021640197</v>
      </c>
      <c r="N8" s="7">
        <v>196.91065540720001</v>
      </c>
      <c r="P8" s="33"/>
      <c r="Q8" s="7" t="s">
        <v>3</v>
      </c>
      <c r="R8" s="15">
        <f t="shared" si="0"/>
        <v>0</v>
      </c>
      <c r="S8" s="15">
        <f t="shared" si="1"/>
        <v>0</v>
      </c>
      <c r="T8" s="15">
        <f t="shared" si="2"/>
        <v>0</v>
      </c>
      <c r="U8" s="15">
        <f t="shared" si="3"/>
        <v>0</v>
      </c>
      <c r="V8" s="15">
        <f t="shared" si="4"/>
        <v>0</v>
      </c>
    </row>
    <row r="9" spans="8:22" x14ac:dyDescent="0.25">
      <c r="H9" s="31" t="s">
        <v>14</v>
      </c>
      <c r="I9" s="9" t="s">
        <v>10</v>
      </c>
      <c r="J9" s="9">
        <v>11000000000</v>
      </c>
      <c r="K9" s="9">
        <v>373300000</v>
      </c>
      <c r="L9" s="9">
        <v>278300000</v>
      </c>
      <c r="M9" s="9">
        <v>14.34</v>
      </c>
      <c r="N9" s="9">
        <v>421.9</v>
      </c>
      <c r="P9" s="31" t="s">
        <v>14</v>
      </c>
      <c r="Q9" s="9" t="s">
        <v>10</v>
      </c>
      <c r="R9" s="16">
        <f>(J9-$J$14)/J9</f>
        <v>0.13326224469855361</v>
      </c>
      <c r="S9" s="16">
        <f>(K9-$K$14)/K9</f>
        <v>0.11683257617328957</v>
      </c>
      <c r="T9" s="16">
        <f>(L9-$L$14)/L9</f>
        <v>0.11076827151656483</v>
      </c>
      <c r="U9" s="16">
        <f>(M9-$M$14)/M9</f>
        <v>0.11856878617591353</v>
      </c>
      <c r="V9" s="16">
        <f>(N9-$N$14)/N9</f>
        <v>0.13322566006730971</v>
      </c>
    </row>
    <row r="10" spans="8:22" x14ac:dyDescent="0.25">
      <c r="H10" s="32"/>
      <c r="I10" s="7" t="s">
        <v>1</v>
      </c>
      <c r="J10" s="7">
        <v>9523000000</v>
      </c>
      <c r="K10" s="7">
        <v>329800000</v>
      </c>
      <c r="L10" s="7">
        <v>251800000</v>
      </c>
      <c r="M10" s="7">
        <v>12.65</v>
      </c>
      <c r="N10" s="7">
        <v>365.3</v>
      </c>
      <c r="P10" s="32"/>
      <c r="Q10" s="7" t="s">
        <v>1</v>
      </c>
      <c r="R10" s="15">
        <f t="shared" ref="R10:R14" si="5">(J10-$J$14)/J10</f>
        <v>-1.1672065857303727E-3</v>
      </c>
      <c r="S10" s="15">
        <f t="shared" ref="S10:S14" si="6">(K10-$K$14)/K10</f>
        <v>3.4445326103395659E-4</v>
      </c>
      <c r="T10" s="15">
        <f t="shared" ref="T10:T14" si="7">(L10-$L$14)/L10</f>
        <v>1.7183518518903859E-2</v>
      </c>
      <c r="U10" s="15">
        <f t="shared" ref="U10:U14" si="8">(M10-$M$14)/M10</f>
        <v>8.1236314328857531E-4</v>
      </c>
      <c r="V10" s="15">
        <f t="shared" ref="V10:V14" si="9">(N10-$N$14)/N10</f>
        <v>-1.0733479813906524E-3</v>
      </c>
    </row>
    <row r="11" spans="8:22" x14ac:dyDescent="0.25">
      <c r="H11" s="32"/>
      <c r="I11" s="7" t="s">
        <v>11</v>
      </c>
      <c r="J11" s="7" t="s">
        <v>31</v>
      </c>
      <c r="K11" s="7">
        <v>330100000</v>
      </c>
      <c r="L11" s="7">
        <v>210100000</v>
      </c>
      <c r="M11" s="7" t="s">
        <v>31</v>
      </c>
      <c r="N11" s="7">
        <v>365.9</v>
      </c>
      <c r="P11" s="32"/>
      <c r="Q11" s="7" t="s">
        <v>11</v>
      </c>
      <c r="R11" s="15" t="s">
        <v>31</v>
      </c>
      <c r="S11" s="15">
        <f t="shared" si="6"/>
        <v>1.2529557270190817E-3</v>
      </c>
      <c r="T11" s="15">
        <f t="shared" si="7"/>
        <v>-0.17788286547805809</v>
      </c>
      <c r="U11" s="15" t="s">
        <v>31</v>
      </c>
      <c r="V11" s="15">
        <f t="shared" si="9"/>
        <v>5.6820437933304338E-4</v>
      </c>
    </row>
    <row r="12" spans="8:22" x14ac:dyDescent="0.25">
      <c r="H12" s="32"/>
      <c r="I12" s="7" t="s">
        <v>12</v>
      </c>
      <c r="J12" s="7">
        <v>9544000000</v>
      </c>
      <c r="K12" s="7">
        <v>322400000</v>
      </c>
      <c r="L12" s="7">
        <v>116800000</v>
      </c>
      <c r="M12" s="7">
        <v>12.38</v>
      </c>
      <c r="N12" s="7">
        <v>366.1</v>
      </c>
      <c r="P12" s="32"/>
      <c r="Q12" s="7" t="s">
        <v>12</v>
      </c>
      <c r="R12" s="15">
        <f t="shared" si="5"/>
        <v>1.035696949296905E-3</v>
      </c>
      <c r="S12" s="15">
        <f t="shared" si="6"/>
        <v>-2.2600494151709061E-2</v>
      </c>
      <c r="T12" s="15">
        <f t="shared" si="7"/>
        <v>-1.1187773119601028</v>
      </c>
      <c r="U12" s="15">
        <f t="shared" si="8"/>
        <v>-2.097928967991915E-2</v>
      </c>
      <c r="V12" s="15">
        <f t="shared" si="9"/>
        <v>1.1141927954056432E-3</v>
      </c>
    </row>
    <row r="13" spans="8:22" x14ac:dyDescent="0.25">
      <c r="H13" s="32"/>
      <c r="I13" s="7" t="s">
        <v>13</v>
      </c>
      <c r="J13" s="7">
        <v>9540000000</v>
      </c>
      <c r="K13" s="7">
        <v>330100000</v>
      </c>
      <c r="L13" s="7">
        <v>253200000</v>
      </c>
      <c r="M13" s="7">
        <v>12.66</v>
      </c>
      <c r="N13" s="7">
        <v>365.9</v>
      </c>
      <c r="P13" s="32"/>
      <c r="Q13" s="7" t="s">
        <v>13</v>
      </c>
      <c r="R13" s="15">
        <f t="shared" si="5"/>
        <v>6.1684399204294134E-4</v>
      </c>
      <c r="S13" s="15">
        <f t="shared" si="6"/>
        <v>1.2529557270190817E-3</v>
      </c>
      <c r="T13" s="15">
        <f t="shared" si="7"/>
        <v>2.2617732871484959E-2</v>
      </c>
      <c r="U13" s="15">
        <f t="shared" si="8"/>
        <v>1.6016108817219798E-3</v>
      </c>
      <c r="V13" s="15">
        <f t="shared" si="9"/>
        <v>5.6820437933304338E-4</v>
      </c>
    </row>
    <row r="14" spans="8:22" x14ac:dyDescent="0.25">
      <c r="H14" s="33"/>
      <c r="I14" s="8" t="s">
        <v>3</v>
      </c>
      <c r="J14" s="8">
        <v>9534115308.3159103</v>
      </c>
      <c r="K14" s="8">
        <v>329686399.314511</v>
      </c>
      <c r="L14" s="8">
        <v>247473190.03694001</v>
      </c>
      <c r="M14" s="8">
        <v>12.6397236062374</v>
      </c>
      <c r="N14" s="8">
        <v>365.69209401760202</v>
      </c>
      <c r="P14" s="33"/>
      <c r="Q14" s="8" t="s">
        <v>3</v>
      </c>
      <c r="R14" s="17">
        <f t="shared" si="5"/>
        <v>0</v>
      </c>
      <c r="S14" s="17">
        <f t="shared" si="6"/>
        <v>0</v>
      </c>
      <c r="T14" s="17">
        <f t="shared" si="7"/>
        <v>0</v>
      </c>
      <c r="U14" s="17">
        <f t="shared" si="8"/>
        <v>0</v>
      </c>
      <c r="V14" s="17">
        <f t="shared" si="9"/>
        <v>0</v>
      </c>
    </row>
    <row r="15" spans="8:22" x14ac:dyDescent="0.25">
      <c r="H15" s="31" t="s">
        <v>28</v>
      </c>
      <c r="I15" s="7" t="s">
        <v>10</v>
      </c>
      <c r="J15" s="7">
        <v>16500000000</v>
      </c>
      <c r="K15" s="7">
        <v>483200000</v>
      </c>
      <c r="L15" s="7">
        <v>355600000</v>
      </c>
      <c r="M15" s="7">
        <v>18.559999999999999</v>
      </c>
      <c r="N15" s="7">
        <v>632.9</v>
      </c>
      <c r="P15" s="31" t="s">
        <v>28</v>
      </c>
      <c r="Q15" s="7" t="s">
        <v>10</v>
      </c>
      <c r="R15" s="15">
        <f>(J15-$J$20)/J15</f>
        <v>0.19993495329345448</v>
      </c>
      <c r="S15" s="15">
        <f>(K15-$K$20)/K15</f>
        <v>0.16449128476841685</v>
      </c>
      <c r="T15" s="15">
        <f>(L15-$L$20)/L15</f>
        <v>0.14780169566998314</v>
      </c>
      <c r="U15" s="15">
        <f>(M15-$M$20)/M15</f>
        <v>0.16613623973347519</v>
      </c>
      <c r="V15" s="15">
        <f>(N15-$N$20)/N15</f>
        <v>0.1999643918331537</v>
      </c>
    </row>
    <row r="16" spans="8:22" x14ac:dyDescent="0.25">
      <c r="H16" s="32"/>
      <c r="I16" s="7" t="s">
        <v>1</v>
      </c>
      <c r="J16" s="7">
        <v>13180000000</v>
      </c>
      <c r="K16" s="7">
        <v>403800000</v>
      </c>
      <c r="L16" s="7">
        <v>308300000</v>
      </c>
      <c r="M16" s="7">
        <v>15.49</v>
      </c>
      <c r="N16" s="7">
        <v>505.7</v>
      </c>
      <c r="P16" s="32"/>
      <c r="Q16" s="7" t="s">
        <v>1</v>
      </c>
      <c r="R16" s="15">
        <f t="shared" ref="R16:R20" si="10">(J16-$J$20)/J16</f>
        <v>-1.5988824474962781E-3</v>
      </c>
      <c r="S16" s="15">
        <f t="shared" ref="S16:S20" si="11">(K16-$K$20)/K16</f>
        <v>2.0353838558448547E-4</v>
      </c>
      <c r="T16" s="15">
        <f t="shared" ref="T16:T20" si="12">(L16-$L$20)/L16</f>
        <v>1.7055734609944882E-2</v>
      </c>
      <c r="U16" s="15">
        <f t="shared" ref="U16:U20" si="13">(M16-$M$20)/M16</f>
        <v>8.7079467096842355E-4</v>
      </c>
      <c r="V16" s="15">
        <f t="shared" ref="V16:V20" si="14">(N16-$N$20)/N16</f>
        <v>-1.2705881131046348E-3</v>
      </c>
    </row>
    <row r="17" spans="8:22" x14ac:dyDescent="0.25">
      <c r="H17" s="32"/>
      <c r="I17" s="7" t="s">
        <v>11</v>
      </c>
      <c r="J17" s="7" t="s">
        <v>31</v>
      </c>
      <c r="K17" s="7">
        <v>404200000</v>
      </c>
      <c r="L17" s="7">
        <v>228800000</v>
      </c>
      <c r="M17" s="7" t="s">
        <v>31</v>
      </c>
      <c r="N17" s="7">
        <v>506.7</v>
      </c>
      <c r="P17" s="32"/>
      <c r="Q17" s="7" t="s">
        <v>11</v>
      </c>
      <c r="R17" s="15" t="s">
        <v>31</v>
      </c>
      <c r="S17" s="15">
        <f t="shared" si="11"/>
        <v>1.1929460665487759E-3</v>
      </c>
      <c r="T17" s="15">
        <f t="shared" si="12"/>
        <v>-0.3244830289324912</v>
      </c>
      <c r="U17" s="15" t="s">
        <v>31</v>
      </c>
      <c r="V17" s="15">
        <f t="shared" si="14"/>
        <v>7.0547383304319364E-4</v>
      </c>
    </row>
    <row r="18" spans="8:22" x14ac:dyDescent="0.25">
      <c r="H18" s="32"/>
      <c r="I18" s="7" t="s">
        <v>12</v>
      </c>
      <c r="J18" s="7">
        <v>13220000000</v>
      </c>
      <c r="K18" s="7">
        <v>380400000</v>
      </c>
      <c r="L18" s="7">
        <v>210600000</v>
      </c>
      <c r="M18" s="7">
        <v>14.61</v>
      </c>
      <c r="N18" s="7">
        <v>507</v>
      </c>
      <c r="P18" s="32"/>
      <c r="Q18" s="7" t="s">
        <v>12</v>
      </c>
      <c r="R18" s="15">
        <f t="shared" si="10"/>
        <v>1.4316739290468272E-3</v>
      </c>
      <c r="S18" s="15">
        <f t="shared" si="11"/>
        <v>-6.1298136697952116E-2</v>
      </c>
      <c r="T18" s="15">
        <f t="shared" si="12"/>
        <v>-0.43894452525999045</v>
      </c>
      <c r="U18" s="15">
        <f t="shared" si="13"/>
        <v>-5.9309472316680351E-2</v>
      </c>
      <c r="V18" s="15">
        <f t="shared" si="14"/>
        <v>1.2967723692366817E-3</v>
      </c>
    </row>
    <row r="19" spans="8:22" x14ac:dyDescent="0.25">
      <c r="H19" s="32"/>
      <c r="I19" s="7" t="s">
        <v>13</v>
      </c>
      <c r="J19" s="7">
        <v>13210000000</v>
      </c>
      <c r="K19" s="7">
        <v>404200000</v>
      </c>
      <c r="L19" s="7">
        <v>310100000</v>
      </c>
      <c r="M19" s="7">
        <v>15.5</v>
      </c>
      <c r="N19" s="7">
        <v>506.7</v>
      </c>
      <c r="P19" s="32"/>
      <c r="Q19" s="7" t="s">
        <v>13</v>
      </c>
      <c r="R19" s="15">
        <f t="shared" si="10"/>
        <v>6.7575543845564375E-4</v>
      </c>
      <c r="S19" s="15">
        <f t="shared" si="11"/>
        <v>1.1929460665487759E-3</v>
      </c>
      <c r="T19" s="15">
        <f t="shared" si="12"/>
        <v>2.2761312416143202E-2</v>
      </c>
      <c r="U19" s="15">
        <f t="shared" si="13"/>
        <v>1.5153941582774625E-3</v>
      </c>
      <c r="V19" s="15">
        <f t="shared" si="14"/>
        <v>7.0547383304319364E-4</v>
      </c>
    </row>
    <row r="20" spans="8:22" x14ac:dyDescent="0.25">
      <c r="H20" s="32"/>
      <c r="I20" s="7" t="s">
        <v>3</v>
      </c>
      <c r="J20" s="7">
        <v>13201073270.658001</v>
      </c>
      <c r="K20" s="7">
        <v>403717811.19990098</v>
      </c>
      <c r="L20" s="7">
        <v>303041717.01975399</v>
      </c>
      <c r="M20" s="7">
        <v>15.476511390546699</v>
      </c>
      <c r="N20" s="7">
        <v>506.342536408797</v>
      </c>
      <c r="P20" s="32"/>
      <c r="Q20" s="7" t="s">
        <v>3</v>
      </c>
      <c r="R20" s="15">
        <f t="shared" si="10"/>
        <v>0</v>
      </c>
      <c r="S20" s="15">
        <f t="shared" si="11"/>
        <v>0</v>
      </c>
      <c r="T20" s="15">
        <f t="shared" si="12"/>
        <v>0</v>
      </c>
      <c r="U20" s="15">
        <f t="shared" si="13"/>
        <v>0</v>
      </c>
      <c r="V20" s="15">
        <f t="shared" si="14"/>
        <v>0</v>
      </c>
    </row>
    <row r="21" spans="8:22" x14ac:dyDescent="0.25">
      <c r="H21" s="31" t="s">
        <v>15</v>
      </c>
      <c r="I21" s="9" t="s">
        <v>10</v>
      </c>
      <c r="J21" s="9">
        <v>22000000000</v>
      </c>
      <c r="K21" s="9">
        <v>553700000</v>
      </c>
      <c r="L21" s="9">
        <v>398400000</v>
      </c>
      <c r="M21" s="9">
        <v>21.27</v>
      </c>
      <c r="N21" s="9">
        <v>843.8</v>
      </c>
      <c r="P21" s="31" t="s">
        <v>15</v>
      </c>
      <c r="Q21" s="9" t="s">
        <v>10</v>
      </c>
      <c r="R21" s="16">
        <f>(J21-$J$26)/J21</f>
        <v>0.26660745460817725</v>
      </c>
      <c r="S21" s="16">
        <f>(K21-$K$26)/K21</f>
        <v>0.20202945958599786</v>
      </c>
      <c r="T21" s="16">
        <f>(L21-$L$26)/L21</f>
        <v>0.16754203827140562</v>
      </c>
      <c r="U21" s="16">
        <f>(M21-$M$26)/M21</f>
        <v>0.20380058023778566</v>
      </c>
      <c r="V21" s="16">
        <f>(N21-$N$26)/N21</f>
        <v>0.26657649842142328</v>
      </c>
    </row>
    <row r="22" spans="8:22" x14ac:dyDescent="0.25">
      <c r="H22" s="32"/>
      <c r="I22" s="7" t="s">
        <v>1</v>
      </c>
      <c r="J22" s="7">
        <v>16130000000</v>
      </c>
      <c r="K22" s="7">
        <v>442300000</v>
      </c>
      <c r="L22" s="7">
        <v>338600000</v>
      </c>
      <c r="M22" s="7">
        <v>16.96</v>
      </c>
      <c r="N22" s="7">
        <v>618.79999999999995</v>
      </c>
      <c r="P22" s="32"/>
      <c r="Q22" s="7" t="s">
        <v>1</v>
      </c>
      <c r="R22" s="15">
        <f t="shared" ref="R22:R26" si="15">(J22-$J$26)/J22</f>
        <v>-2.8741466956602735E-4</v>
      </c>
      <c r="S22" s="15">
        <f t="shared" ref="S22:S26" si="16">(K22-$K$26)/K22</f>
        <v>1.0484100673004914E-3</v>
      </c>
      <c r="T22" s="15">
        <f t="shared" ref="T22:T26" si="17">(L22-$L$26)/L22</f>
        <v>2.0521996595770808E-2</v>
      </c>
      <c r="U22" s="15">
        <f t="shared" ref="U22:U26" si="18">(M22-$M$26)/M22</f>
        <v>1.4645248618928091E-3</v>
      </c>
      <c r="V22" s="15">
        <f t="shared" ref="V22:V26" si="19">(N22-$N$26)/N22</f>
        <v>-1.014069683306895E-4</v>
      </c>
    </row>
    <row r="23" spans="8:22" x14ac:dyDescent="0.25">
      <c r="H23" s="32"/>
      <c r="I23" s="7" t="s">
        <v>11</v>
      </c>
      <c r="J23" s="7" t="s">
        <v>31</v>
      </c>
      <c r="K23" s="7">
        <v>442300000</v>
      </c>
      <c r="L23" s="7">
        <v>215400000</v>
      </c>
      <c r="M23" s="7" t="s">
        <v>31</v>
      </c>
      <c r="N23" s="7">
        <v>619.29999999999995</v>
      </c>
      <c r="P23" s="32"/>
      <c r="Q23" s="7" t="s">
        <v>11</v>
      </c>
      <c r="R23" s="15" t="s">
        <v>31</v>
      </c>
      <c r="S23" s="15">
        <f t="shared" si="16"/>
        <v>1.0484100673004914E-3</v>
      </c>
      <c r="T23" s="15">
        <f t="shared" si="17"/>
        <v>-0.53969940553701024</v>
      </c>
      <c r="U23" s="15" t="s">
        <v>31</v>
      </c>
      <c r="V23" s="15">
        <f t="shared" si="19"/>
        <v>7.0603805586463646E-4</v>
      </c>
    </row>
    <row r="24" spans="8:22" x14ac:dyDescent="0.25">
      <c r="H24" s="32"/>
      <c r="I24" s="7" t="s">
        <v>12</v>
      </c>
      <c r="J24" s="7">
        <v>16160000000</v>
      </c>
      <c r="K24" s="7">
        <v>390700000</v>
      </c>
      <c r="L24" s="7">
        <v>336500000</v>
      </c>
      <c r="M24" s="7">
        <v>15.01</v>
      </c>
      <c r="N24" s="7">
        <v>619.79999999999995</v>
      </c>
      <c r="P24" s="32"/>
      <c r="Q24" s="7" t="s">
        <v>12</v>
      </c>
      <c r="R24" s="15">
        <f t="shared" si="15"/>
        <v>1.5695545408353946E-3</v>
      </c>
      <c r="S24" s="15">
        <f t="shared" si="16"/>
        <v>-0.13088376817822625</v>
      </c>
      <c r="T24" s="15">
        <f t="shared" si="17"/>
        <v>1.440935526694798E-2</v>
      </c>
      <c r="U24" s="15">
        <f t="shared" si="18"/>
        <v>-0.12825860481960685</v>
      </c>
      <c r="V24" s="15">
        <f t="shared" si="19"/>
        <v>1.5121803291335422E-3</v>
      </c>
    </row>
    <row r="25" spans="8:22" x14ac:dyDescent="0.25">
      <c r="H25" s="32"/>
      <c r="I25" s="7" t="s">
        <v>13</v>
      </c>
      <c r="J25" s="7">
        <v>16150000000</v>
      </c>
      <c r="K25" s="7">
        <v>442400000</v>
      </c>
      <c r="L25" s="7">
        <v>339400000</v>
      </c>
      <c r="M25" s="7">
        <v>16.97</v>
      </c>
      <c r="N25" s="7">
        <v>619.29999999999995</v>
      </c>
      <c r="P25" s="32"/>
      <c r="Q25" s="7" t="s">
        <v>13</v>
      </c>
      <c r="R25" s="15">
        <f t="shared" si="15"/>
        <v>9.5133135479256829E-4</v>
      </c>
      <c r="S25" s="15">
        <f t="shared" si="16"/>
        <v>1.2742128679181903E-3</v>
      </c>
      <c r="T25" s="15">
        <f t="shared" si="17"/>
        <v>2.2830724947931629E-2</v>
      </c>
      <c r="U25" s="15">
        <f t="shared" si="18"/>
        <v>2.0529370452386599E-3</v>
      </c>
      <c r="V25" s="15">
        <f t="shared" si="19"/>
        <v>7.0603805586463646E-4</v>
      </c>
    </row>
    <row r="26" spans="8:22" x14ac:dyDescent="0.25">
      <c r="H26" s="33"/>
      <c r="I26" s="8" t="s">
        <v>3</v>
      </c>
      <c r="J26" s="8">
        <v>16134635998.6201</v>
      </c>
      <c r="K26" s="8">
        <v>441836288.22723299</v>
      </c>
      <c r="L26" s="8">
        <v>331651251.952672</v>
      </c>
      <c r="M26" s="8">
        <v>16.935161658342299</v>
      </c>
      <c r="N26" s="8">
        <v>618.86275063200299</v>
      </c>
      <c r="P26" s="33"/>
      <c r="Q26" s="7" t="s">
        <v>3</v>
      </c>
      <c r="R26" s="15">
        <f t="shared" si="15"/>
        <v>0</v>
      </c>
      <c r="S26" s="15">
        <f t="shared" si="16"/>
        <v>0</v>
      </c>
      <c r="T26" s="15">
        <f t="shared" si="17"/>
        <v>0</v>
      </c>
      <c r="U26" s="15">
        <f t="shared" si="18"/>
        <v>0</v>
      </c>
      <c r="V26" s="15">
        <f t="shared" si="19"/>
        <v>0</v>
      </c>
    </row>
    <row r="27" spans="8:22" x14ac:dyDescent="0.25">
      <c r="H27" s="32" t="s">
        <v>29</v>
      </c>
      <c r="I27" s="9" t="s">
        <v>10</v>
      </c>
      <c r="J27" s="9">
        <v>27500000000</v>
      </c>
      <c r="K27" s="9">
        <v>593600000</v>
      </c>
      <c r="L27" s="9">
        <v>411500000</v>
      </c>
      <c r="M27" s="9">
        <v>22.8</v>
      </c>
      <c r="N27" s="9">
        <v>1055</v>
      </c>
      <c r="P27" s="32" t="s">
        <v>29</v>
      </c>
      <c r="Q27" s="16" t="s">
        <v>10</v>
      </c>
      <c r="R27" s="16">
        <f>(J27-$J$32)/J27</f>
        <v>0.33327936484588</v>
      </c>
      <c r="S27" s="16">
        <f>(K27-$K$32)/K27</f>
        <v>0.22824328481141176</v>
      </c>
      <c r="T27" s="16">
        <f>(L27-$L$32)/L27</f>
        <v>0.16436113443183478</v>
      </c>
      <c r="U27" s="16">
        <f>(M27-$M$32)/M27</f>
        <v>0.2300350652151491</v>
      </c>
      <c r="V27" s="16">
        <f>(N27-$N$32)/N27</f>
        <v>0.33340922019260094</v>
      </c>
    </row>
    <row r="28" spans="8:22" x14ac:dyDescent="0.25">
      <c r="H28" s="32"/>
      <c r="I28" s="7" t="s">
        <v>1</v>
      </c>
      <c r="J28" s="7">
        <v>18340000000</v>
      </c>
      <c r="K28" s="7">
        <v>458600000</v>
      </c>
      <c r="L28" s="7">
        <v>351500000</v>
      </c>
      <c r="M28" s="7">
        <v>17.59</v>
      </c>
      <c r="N28" s="7">
        <v>703.4</v>
      </c>
      <c r="P28" s="32"/>
      <c r="Q28" s="15" t="s">
        <v>1</v>
      </c>
      <c r="R28" s="15">
        <f t="shared" ref="R28:R32" si="20">(J28-$J$32)/J28</f>
        <v>2.8258087577424625E-4</v>
      </c>
      <c r="S28" s="15">
        <f t="shared" ref="S28:S32" si="21">(K28-$K$32)/K28</f>
        <v>1.0580328479154475E-3</v>
      </c>
      <c r="T28" s="15">
        <f t="shared" ref="T28:T32" si="22">(L28-$L$32)/L28</f>
        <v>2.172007629786633E-2</v>
      </c>
      <c r="U28" s="15">
        <f t="shared" ref="U28:U32" si="23">(M28-$M$32)/M28</f>
        <v>1.9783676466969377E-3</v>
      </c>
      <c r="V28" s="15">
        <f t="shared" ref="V28:V32" si="24">(N28-$N$32)/N28</f>
        <v>2.0859724650836505E-4</v>
      </c>
    </row>
    <row r="29" spans="8:22" x14ac:dyDescent="0.25">
      <c r="H29" s="32"/>
      <c r="I29" s="7" t="s">
        <v>11</v>
      </c>
      <c r="J29" s="7" t="s">
        <v>31</v>
      </c>
      <c r="K29" s="7">
        <v>458600000</v>
      </c>
      <c r="L29" s="7">
        <v>183900000</v>
      </c>
      <c r="M29" s="7" t="s">
        <v>31</v>
      </c>
      <c r="N29" s="7">
        <v>703.7</v>
      </c>
      <c r="P29" s="32"/>
      <c r="Q29" s="15" t="s">
        <v>11</v>
      </c>
      <c r="R29" s="15" t="s">
        <v>31</v>
      </c>
      <c r="S29" s="15">
        <f t="shared" si="21"/>
        <v>1.0580328479154475E-3</v>
      </c>
      <c r="T29" s="15">
        <f t="shared" si="22"/>
        <v>-0.86984988135562802</v>
      </c>
      <c r="U29" s="15" t="s">
        <v>31</v>
      </c>
      <c r="V29" s="15">
        <f t="shared" si="24"/>
        <v>6.3482635099339517E-4</v>
      </c>
    </row>
    <row r="30" spans="8:22" x14ac:dyDescent="0.25">
      <c r="H30" s="32"/>
      <c r="I30" s="7" t="s">
        <v>12</v>
      </c>
      <c r="J30" s="7">
        <v>18370000000</v>
      </c>
      <c r="K30" s="7">
        <v>366900000</v>
      </c>
      <c r="L30" s="7">
        <v>330900000</v>
      </c>
      <c r="M30" s="7">
        <v>14.11</v>
      </c>
      <c r="N30" s="7">
        <v>704.6</v>
      </c>
      <c r="P30" s="32"/>
      <c r="Q30" s="15" t="s">
        <v>12</v>
      </c>
      <c r="R30" s="15">
        <f t="shared" si="20"/>
        <v>1.9152168351496829E-3</v>
      </c>
      <c r="S30" s="15">
        <f t="shared" si="21"/>
        <v>-0.24860939257548645</v>
      </c>
      <c r="T30" s="15">
        <f t="shared" si="22"/>
        <v>-3.9182209674523981E-2</v>
      </c>
      <c r="U30" s="15">
        <f t="shared" si="23"/>
        <v>-0.24416729362824957</v>
      </c>
      <c r="V30" s="15">
        <f t="shared" si="24"/>
        <v>1.91133593981554E-3</v>
      </c>
    </row>
    <row r="31" spans="8:22" x14ac:dyDescent="0.25">
      <c r="H31" s="32"/>
      <c r="I31" s="7" t="s">
        <v>13</v>
      </c>
      <c r="J31" s="7">
        <v>18350000000</v>
      </c>
      <c r="K31" s="7">
        <v>458700000</v>
      </c>
      <c r="L31" s="7">
        <v>351900000</v>
      </c>
      <c r="M31" s="7">
        <v>17.59</v>
      </c>
      <c r="N31" s="7">
        <v>703.7</v>
      </c>
      <c r="P31" s="32"/>
      <c r="Q31" s="15" t="s">
        <v>13</v>
      </c>
      <c r="R31" s="15">
        <f t="shared" si="20"/>
        <v>8.2738600881197149E-4</v>
      </c>
      <c r="S31" s="15">
        <f t="shared" si="21"/>
        <v>1.2758096011642123E-3</v>
      </c>
      <c r="T31" s="15">
        <f t="shared" si="22"/>
        <v>2.2832073937766456E-2</v>
      </c>
      <c r="U31" s="15">
        <f t="shared" si="23"/>
        <v>1.9783676466969377E-3</v>
      </c>
      <c r="V31" s="15">
        <f t="shared" si="24"/>
        <v>6.3482635099339517E-4</v>
      </c>
    </row>
    <row r="32" spans="8:22" x14ac:dyDescent="0.25">
      <c r="H32" s="33"/>
      <c r="I32" s="8" t="s">
        <v>3</v>
      </c>
      <c r="J32" s="8">
        <v>18334817466.7383</v>
      </c>
      <c r="K32" s="8">
        <v>458114786.13594598</v>
      </c>
      <c r="L32" s="8">
        <v>343865393.18129998</v>
      </c>
      <c r="M32" s="8">
        <v>17.555200513094601</v>
      </c>
      <c r="N32" s="8">
        <v>703.25327269680599</v>
      </c>
      <c r="P32" s="33"/>
      <c r="Q32" s="17" t="s">
        <v>3</v>
      </c>
      <c r="R32" s="17">
        <f t="shared" si="20"/>
        <v>0</v>
      </c>
      <c r="S32" s="17">
        <f t="shared" si="21"/>
        <v>0</v>
      </c>
      <c r="T32" s="17">
        <f t="shared" si="22"/>
        <v>0</v>
      </c>
      <c r="U32" s="17">
        <f t="shared" si="23"/>
        <v>0</v>
      </c>
      <c r="V32" s="17">
        <f t="shared" si="24"/>
        <v>0</v>
      </c>
    </row>
  </sheetData>
  <mergeCells count="12">
    <mergeCell ref="P1:V1"/>
    <mergeCell ref="P21:P26"/>
    <mergeCell ref="P27:P32"/>
    <mergeCell ref="H9:H14"/>
    <mergeCell ref="H3:H8"/>
    <mergeCell ref="H1:N1"/>
    <mergeCell ref="P3:P8"/>
    <mergeCell ref="P9:P14"/>
    <mergeCell ref="P15:P20"/>
    <mergeCell ref="H27:H32"/>
    <mergeCell ref="H21:H26"/>
    <mergeCell ref="H15:H20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B3C0-A9D2-473B-822F-EDBB5486C631}">
  <dimension ref="C1:X31"/>
  <sheetViews>
    <sheetView workbookViewId="0">
      <selection activeCell="R19" sqref="R19"/>
    </sheetView>
  </sheetViews>
  <sheetFormatPr defaultRowHeight="13.8" x14ac:dyDescent="0.25"/>
  <cols>
    <col min="6" max="7" width="10" bestFit="1" customWidth="1"/>
    <col min="14" max="16" width="11.21875" bestFit="1" customWidth="1"/>
    <col min="17" max="17" width="12.88671875" customWidth="1"/>
    <col min="18" max="18" width="14.77734375" customWidth="1"/>
    <col min="19" max="19" width="16.109375" customWidth="1"/>
    <col min="20" max="20" width="18.6640625" customWidth="1"/>
  </cols>
  <sheetData>
    <row r="1" spans="13:24" ht="15" thickTop="1" thickBot="1" x14ac:dyDescent="0.3">
      <c r="M1" s="11"/>
      <c r="N1" s="11" t="s">
        <v>16</v>
      </c>
      <c r="O1" s="11" t="s">
        <v>18</v>
      </c>
      <c r="P1" s="11" t="s">
        <v>17</v>
      </c>
      <c r="Q1" s="11" t="s">
        <v>58</v>
      </c>
      <c r="R1" s="11" t="s">
        <v>61</v>
      </c>
      <c r="S1" s="11" t="s">
        <v>62</v>
      </c>
      <c r="T1" s="11" t="s">
        <v>5</v>
      </c>
      <c r="X1" t="s">
        <v>59</v>
      </c>
    </row>
    <row r="2" spans="13:24" ht="15" thickTop="1" x14ac:dyDescent="0.25">
      <c r="M2" s="20" t="s">
        <v>48</v>
      </c>
      <c r="N2" s="7">
        <v>21030000</v>
      </c>
      <c r="O2" s="7">
        <v>145900000</v>
      </c>
      <c r="P2" s="7">
        <v>19160000</v>
      </c>
      <c r="Q2" s="7">
        <v>20228735.1070817</v>
      </c>
      <c r="R2" s="12">
        <f>(N2-Q2)/N2</f>
        <v>3.8101041032729425E-2</v>
      </c>
      <c r="S2" s="12">
        <f>(O2-Q2)/O2</f>
        <v>0.86135205546893967</v>
      </c>
      <c r="T2" s="12">
        <f>(P2-Q2)/P2</f>
        <v>-5.5779494106560551E-2</v>
      </c>
      <c r="W2">
        <v>1</v>
      </c>
      <c r="X2">
        <v>3</v>
      </c>
    </row>
    <row r="3" spans="13:24" ht="14.4" x14ac:dyDescent="0.25">
      <c r="M3" s="20" t="s">
        <v>43</v>
      </c>
      <c r="N3" s="7">
        <v>630900000</v>
      </c>
      <c r="O3" s="7">
        <v>487800000</v>
      </c>
      <c r="P3" s="7">
        <v>439800000</v>
      </c>
      <c r="Q3" s="7">
        <v>557558459.54119503</v>
      </c>
      <c r="R3" s="12">
        <f t="shared" ref="R3:R20" si="0">(N3-Q3)/N3</f>
        <v>0.11624907348043266</v>
      </c>
      <c r="S3" s="12">
        <f t="shared" ref="S3:S18" si="1">(O3-Q3)/O3</f>
        <v>-0.14300627212217104</v>
      </c>
      <c r="T3" s="23">
        <f t="shared" ref="T3:T20" si="2">(P3-Q3)/P3</f>
        <v>-0.267754569215996</v>
      </c>
      <c r="W3">
        <v>3</v>
      </c>
      <c r="X3">
        <v>4</v>
      </c>
    </row>
    <row r="4" spans="13:24" ht="14.4" x14ac:dyDescent="0.25">
      <c r="M4" s="20" t="s">
        <v>8</v>
      </c>
      <c r="N4" s="7">
        <v>10080000</v>
      </c>
      <c r="O4" s="7">
        <v>24690000</v>
      </c>
      <c r="P4" s="7">
        <v>21670000</v>
      </c>
      <c r="Q4" s="7">
        <v>20378986.831817999</v>
      </c>
      <c r="R4" s="12">
        <f t="shared" si="0"/>
        <v>-1.0217248841089286</v>
      </c>
      <c r="S4" s="12">
        <f t="shared" si="1"/>
        <v>0.1746056366213852</v>
      </c>
      <c r="T4" s="12">
        <f t="shared" si="2"/>
        <v>5.9576057599538559E-2</v>
      </c>
      <c r="W4">
        <v>4</v>
      </c>
      <c r="X4">
        <v>5</v>
      </c>
    </row>
    <row r="5" spans="13:24" ht="14.4" x14ac:dyDescent="0.25">
      <c r="M5" s="20" t="s">
        <v>7</v>
      </c>
      <c r="N5" s="7">
        <v>3000000000</v>
      </c>
      <c r="O5" s="7">
        <v>2789000000</v>
      </c>
      <c r="P5" s="7">
        <v>2387000000</v>
      </c>
      <c r="Q5" s="7">
        <v>2415433041.0316601</v>
      </c>
      <c r="R5" s="12">
        <f t="shared" si="0"/>
        <v>0.19485565298944665</v>
      </c>
      <c r="S5" s="12">
        <f t="shared" si="1"/>
        <v>0.13394297560714949</v>
      </c>
      <c r="T5" s="12">
        <f t="shared" si="2"/>
        <v>-1.1911621714143309E-2</v>
      </c>
      <c r="W5">
        <v>2</v>
      </c>
      <c r="X5">
        <v>6</v>
      </c>
    </row>
    <row r="6" spans="13:24" ht="14.4" x14ac:dyDescent="0.25">
      <c r="M6" s="20" t="s">
        <v>34</v>
      </c>
      <c r="N6" s="7">
        <v>-8132000</v>
      </c>
      <c r="O6" s="7">
        <v>60100000</v>
      </c>
      <c r="P6" s="7">
        <v>12100000</v>
      </c>
      <c r="Q6" s="7">
        <v>14922317.1973108</v>
      </c>
      <c r="R6" s="12">
        <f t="shared" si="0"/>
        <v>2.8350119524484505</v>
      </c>
      <c r="S6" s="12">
        <f t="shared" si="1"/>
        <v>0.75170853249066893</v>
      </c>
      <c r="T6" s="12">
        <f t="shared" si="2"/>
        <v>-0.23324935514965286</v>
      </c>
    </row>
    <row r="7" spans="13:24" ht="14.4" x14ac:dyDescent="0.25">
      <c r="M7" s="20" t="s">
        <v>45</v>
      </c>
      <c r="N7" s="7">
        <v>-1037000</v>
      </c>
      <c r="O7" s="7">
        <v>521600000</v>
      </c>
      <c r="P7" s="7">
        <v>-26350000</v>
      </c>
      <c r="Q7" s="7">
        <v>-27953430.411395598</v>
      </c>
      <c r="R7" s="12">
        <f t="shared" si="0"/>
        <v>-25.956056327286017</v>
      </c>
      <c r="S7" s="12">
        <f t="shared" si="1"/>
        <v>1.0535916994083503</v>
      </c>
      <c r="T7" s="12">
        <f t="shared" si="2"/>
        <v>-6.0851249009320617E-2</v>
      </c>
    </row>
    <row r="8" spans="13:24" ht="14.4" x14ac:dyDescent="0.25">
      <c r="M8" s="21" t="s">
        <v>35</v>
      </c>
      <c r="N8" s="9">
        <v>-130100000</v>
      </c>
      <c r="O8" s="9">
        <v>168500000</v>
      </c>
      <c r="P8" s="9">
        <v>-472400000</v>
      </c>
      <c r="Q8" s="9">
        <v>-695634589.89612997</v>
      </c>
      <c r="R8" s="13">
        <f t="shared" si="0"/>
        <v>-4.3469222897473481</v>
      </c>
      <c r="S8" s="13">
        <f t="shared" si="1"/>
        <v>5.1283951922618991</v>
      </c>
      <c r="T8" s="13">
        <f t="shared" si="2"/>
        <v>-0.47255416997487293</v>
      </c>
    </row>
    <row r="9" spans="13:24" ht="14.4" x14ac:dyDescent="0.25">
      <c r="M9" s="20" t="s">
        <v>36</v>
      </c>
      <c r="N9" s="7">
        <v>-377600</v>
      </c>
      <c r="O9" s="7">
        <v>9002000000</v>
      </c>
      <c r="P9" s="7">
        <v>-52220</v>
      </c>
      <c r="Q9" s="7">
        <v>-13164.1519901758</v>
      </c>
      <c r="R9" s="12">
        <f t="shared" si="0"/>
        <v>0.96513730934805131</v>
      </c>
      <c r="S9" s="12">
        <f t="shared" si="1"/>
        <v>1.000001462358586</v>
      </c>
      <c r="T9" s="12">
        <f t="shared" si="2"/>
        <v>0.74790976656116814</v>
      </c>
    </row>
    <row r="10" spans="13:24" ht="14.4" x14ac:dyDescent="0.25">
      <c r="M10" s="20" t="s">
        <v>37</v>
      </c>
      <c r="N10" s="7">
        <v>8746000</v>
      </c>
      <c r="O10" s="7">
        <v>-1208000000</v>
      </c>
      <c r="P10" s="7">
        <v>1422000</v>
      </c>
      <c r="Q10" s="7">
        <v>4045275.9405471198</v>
      </c>
      <c r="R10" s="12">
        <f t="shared" si="0"/>
        <v>0.5374713079639698</v>
      </c>
      <c r="S10" s="12">
        <f t="shared" si="1"/>
        <v>1.0033487383613802</v>
      </c>
      <c r="T10" s="23">
        <f t="shared" si="2"/>
        <v>-1.8447791424381996</v>
      </c>
    </row>
    <row r="11" spans="13:24" ht="14.4" x14ac:dyDescent="0.25">
      <c r="M11" s="20" t="s">
        <v>38</v>
      </c>
      <c r="N11" s="7">
        <v>752200</v>
      </c>
      <c r="O11" s="7">
        <v>-1723000000</v>
      </c>
      <c r="P11" s="7">
        <v>-33810000</v>
      </c>
      <c r="Q11" s="7">
        <v>-31219071.510609899</v>
      </c>
      <c r="R11" s="12">
        <f t="shared" si="0"/>
        <v>42.503684539497343</v>
      </c>
      <c r="S11" s="12">
        <f t="shared" si="1"/>
        <v>0.98188097997062684</v>
      </c>
      <c r="T11" s="12">
        <f t="shared" si="2"/>
        <v>7.6632016840878475E-2</v>
      </c>
    </row>
    <row r="12" spans="13:24" ht="14.4" x14ac:dyDescent="0.25">
      <c r="M12" s="20" t="s">
        <v>49</v>
      </c>
      <c r="N12" s="7">
        <v>285.89999999999998</v>
      </c>
      <c r="O12" s="7">
        <v>289.13200000000001</v>
      </c>
      <c r="P12" s="7">
        <v>258.053</v>
      </c>
      <c r="Q12" s="7">
        <v>259.84712504227502</v>
      </c>
      <c r="R12" s="12">
        <f t="shared" si="0"/>
        <v>9.1125830562171925E-2</v>
      </c>
      <c r="S12" s="12">
        <f t="shared" si="1"/>
        <v>0.10128548537597007</v>
      </c>
      <c r="T12" s="12">
        <f t="shared" si="2"/>
        <v>-6.9525447961272576E-3</v>
      </c>
    </row>
    <row r="13" spans="13:24" ht="14.4" x14ac:dyDescent="0.25">
      <c r="M13" s="22" t="s">
        <v>46</v>
      </c>
      <c r="N13" s="8">
        <v>2.2109999999999999</v>
      </c>
      <c r="O13" s="8">
        <v>5.1440000000000001</v>
      </c>
      <c r="P13" s="8">
        <v>2.1720000000000002</v>
      </c>
      <c r="Q13" s="8">
        <v>2.1966880763419199</v>
      </c>
      <c r="R13" s="14">
        <f t="shared" si="0"/>
        <v>6.4730545717231955E-3</v>
      </c>
      <c r="S13" s="14">
        <f t="shared" si="1"/>
        <v>0.57296110491020225</v>
      </c>
      <c r="T13" s="14">
        <f t="shared" si="2"/>
        <v>-1.136651765281755E-2</v>
      </c>
    </row>
    <row r="14" spans="13:24" ht="14.4" x14ac:dyDescent="0.25">
      <c r="M14" s="21" t="s">
        <v>39</v>
      </c>
      <c r="N14" s="9">
        <v>62.72</v>
      </c>
      <c r="O14" s="9">
        <v>61.34</v>
      </c>
      <c r="P14" s="9">
        <v>46.417999999999999</v>
      </c>
      <c r="Q14" s="9">
        <v>49.804318302883701</v>
      </c>
      <c r="R14" s="13">
        <f t="shared" si="0"/>
        <v>0.20592604746677773</v>
      </c>
      <c r="S14" s="13">
        <f t="shared" si="1"/>
        <v>0.18806132535240142</v>
      </c>
      <c r="T14" s="13">
        <f t="shared" si="2"/>
        <v>-7.2952697291647661E-2</v>
      </c>
    </row>
    <row r="15" spans="13:24" ht="14.4" x14ac:dyDescent="0.25">
      <c r="M15" s="20" t="s">
        <v>44</v>
      </c>
      <c r="N15" s="7">
        <v>0.33200000000000002</v>
      </c>
      <c r="O15" s="7">
        <v>0.28399999999999997</v>
      </c>
      <c r="P15" s="7">
        <v>0.27779999999999999</v>
      </c>
      <c r="Q15" s="7">
        <v>0.27688353298394397</v>
      </c>
      <c r="R15" s="12">
        <f t="shared" si="0"/>
        <v>0.16601345486763869</v>
      </c>
      <c r="S15" s="12">
        <f t="shared" si="1"/>
        <v>2.505798245090143E-2</v>
      </c>
      <c r="T15" s="12">
        <f t="shared" si="2"/>
        <v>3.2990173364147654E-3</v>
      </c>
    </row>
    <row r="16" spans="13:24" ht="14.4" x14ac:dyDescent="0.25">
      <c r="M16" s="25" t="s">
        <v>40</v>
      </c>
      <c r="N16" s="26">
        <v>2.7E-2</v>
      </c>
      <c r="O16" s="26">
        <v>-2.8000000000000001E-2</v>
      </c>
      <c r="P16" s="26">
        <v>2.743E-2</v>
      </c>
      <c r="Q16" s="26">
        <v>-0.44785366076797306</v>
      </c>
      <c r="R16" s="23">
        <f t="shared" si="0"/>
        <v>17.587172621036039</v>
      </c>
      <c r="S16" s="23">
        <f t="shared" si="1"/>
        <v>-14.994773598856179</v>
      </c>
      <c r="T16" s="23">
        <f t="shared" si="2"/>
        <v>17.32714767655753</v>
      </c>
    </row>
    <row r="17" spans="3:20" ht="14.4" x14ac:dyDescent="0.25">
      <c r="M17" s="20" t="s">
        <v>60</v>
      </c>
      <c r="N17" s="7">
        <v>0.33100000000000002</v>
      </c>
      <c r="O17" s="7">
        <v>-2.9000000000000001E-2</v>
      </c>
      <c r="P17" s="7">
        <v>0.23300000000000001</v>
      </c>
      <c r="Q17" s="7">
        <v>0.23243562307113097</v>
      </c>
      <c r="R17" s="12">
        <f t="shared" si="0"/>
        <v>0.29777757380322972</v>
      </c>
      <c r="S17" s="12">
        <f t="shared" si="1"/>
        <v>9.0150214852114132</v>
      </c>
      <c r="T17" s="12">
        <f t="shared" si="2"/>
        <v>2.4222185788370923E-3</v>
      </c>
    </row>
    <row r="18" spans="3:20" ht="14.4" x14ac:dyDescent="0.25">
      <c r="M18" s="25" t="s">
        <v>41</v>
      </c>
      <c r="N18" s="26">
        <v>2.8000000000000001E-2</v>
      </c>
      <c r="O18" s="26">
        <v>0.2273</v>
      </c>
      <c r="P18" s="26">
        <v>2.9000000000000001E-2</v>
      </c>
      <c r="Q18" s="26">
        <v>-0.44633929496277397</v>
      </c>
      <c r="R18" s="23">
        <f t="shared" si="0"/>
        <v>16.940689105813355</v>
      </c>
      <c r="S18" s="23">
        <f t="shared" si="1"/>
        <v>2.9636572589651298</v>
      </c>
      <c r="T18" s="23">
        <f t="shared" si="2"/>
        <v>16.391010171130137</v>
      </c>
    </row>
    <row r="19" spans="3:20" ht="14.4" x14ac:dyDescent="0.25">
      <c r="M19" s="20" t="s">
        <v>47</v>
      </c>
      <c r="N19" s="7">
        <v>0.28699999999999998</v>
      </c>
      <c r="O19" s="7" t="s">
        <v>31</v>
      </c>
      <c r="P19" s="7">
        <v>3.1E-2</v>
      </c>
      <c r="Q19" s="7">
        <v>-5.9207266245774992E-2</v>
      </c>
      <c r="R19" s="12">
        <f t="shared" si="0"/>
        <v>1.2062970949330138</v>
      </c>
      <c r="S19" s="12" t="s">
        <v>31</v>
      </c>
      <c r="T19" s="12">
        <f t="shared" si="2"/>
        <v>2.9099118143798384</v>
      </c>
    </row>
    <row r="20" spans="3:20" ht="14.4" x14ac:dyDescent="0.25">
      <c r="M20" s="27" t="s">
        <v>42</v>
      </c>
      <c r="N20" s="28">
        <v>2.8000000000000001E-2</v>
      </c>
      <c r="O20" s="28" t="s">
        <v>31</v>
      </c>
      <c r="P20" s="28">
        <v>0.04</v>
      </c>
      <c r="Q20" s="28">
        <v>-0.4345247924047615</v>
      </c>
      <c r="R20" s="24">
        <f t="shared" si="0"/>
        <v>16.51874258588434</v>
      </c>
      <c r="S20" s="24" t="s">
        <v>31</v>
      </c>
      <c r="T20" s="24">
        <f t="shared" si="2"/>
        <v>11.863119810119036</v>
      </c>
    </row>
    <row r="21" spans="3:20" x14ac:dyDescent="0.25">
      <c r="N21" s="29">
        <f>N19+0.475</f>
        <v>0.76200000000000001</v>
      </c>
      <c r="O21" s="29" t="e">
        <f t="shared" ref="O21:Q21" si="3">O19+0.475</f>
        <v>#VALUE!</v>
      </c>
      <c r="P21" s="29">
        <f t="shared" si="3"/>
        <v>0.50600000000000001</v>
      </c>
      <c r="Q21" s="29">
        <f t="shared" si="3"/>
        <v>0.41579273375422499</v>
      </c>
    </row>
    <row r="22" spans="3:20" x14ac:dyDescent="0.25">
      <c r="N22" s="1">
        <f>0.751883532983944-0.475</f>
        <v>0.27688353298394397</v>
      </c>
    </row>
    <row r="29" spans="3:20" x14ac:dyDescent="0.25">
      <c r="C29" s="1"/>
      <c r="D29" s="1"/>
      <c r="F29" s="1"/>
      <c r="G29" s="1"/>
    </row>
    <row r="30" spans="3:20" x14ac:dyDescent="0.25">
      <c r="C30" s="1"/>
      <c r="D30" s="1"/>
      <c r="F30" s="1"/>
      <c r="G30" s="1"/>
    </row>
    <row r="31" spans="3:20" x14ac:dyDescent="0.25">
      <c r="C31" s="1"/>
      <c r="D31" s="1"/>
      <c r="F31" s="1"/>
      <c r="G31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case1</vt:lpstr>
      <vt:lpstr>case2</vt:lpstr>
      <vt:lpstr>case6</vt:lpstr>
      <vt:lpstr>case7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 z</cp:lastModifiedBy>
  <dcterms:created xsi:type="dcterms:W3CDTF">2015-06-05T18:19:34Z</dcterms:created>
  <dcterms:modified xsi:type="dcterms:W3CDTF">2026-01-27T08:51:56Z</dcterms:modified>
</cp:coreProperties>
</file>